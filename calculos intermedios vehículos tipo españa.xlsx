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pere\Desktop\Especialitzacio\Proyecto\ORDENADOS\Evolucion coches\dgt parque vehículos_pcte_españa\"/>
    </mc:Choice>
  </mc:AlternateContent>
  <xr:revisionPtr revIDLastSave="0" documentId="13_ncr:1_{32D31268-970D-41C2-9756-20669B1446E8}" xr6:coauthVersionLast="47" xr6:coauthVersionMax="47" xr10:uidLastSave="{00000000-0000-0000-0000-000000000000}"/>
  <bookViews>
    <workbookView xWindow="-108" yWindow="-108" windowWidth="23256" windowHeight="12456" xr2:uid="{ABA4DFD0-3AE0-49E6-8C1F-BA4B417B7052}"/>
  </bookViews>
  <sheets>
    <sheet name="% vehículos" sheetId="2" r:id="rId1"/>
    <sheet name="tecnica_todoa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8" i="1" l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17" i="1"/>
  <c r="AA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17" i="1"/>
  <c r="P18" i="1"/>
  <c r="Q18" i="1" s="1"/>
  <c r="U18" i="1" s="1"/>
  <c r="P19" i="1"/>
  <c r="Q19" i="1" s="1"/>
  <c r="U19" i="1" s="1"/>
  <c r="P20" i="1"/>
  <c r="Q20" i="1" s="1"/>
  <c r="U20" i="1" s="1"/>
  <c r="P21" i="1"/>
  <c r="R21" i="1" s="1"/>
  <c r="Y21" i="1" s="1"/>
  <c r="P22" i="1"/>
  <c r="Q22" i="1" s="1"/>
  <c r="U22" i="1" s="1"/>
  <c r="P23" i="1"/>
  <c r="Q23" i="1" s="1"/>
  <c r="U23" i="1" s="1"/>
  <c r="P24" i="1"/>
  <c r="R24" i="1" s="1"/>
  <c r="Y24" i="1" s="1"/>
  <c r="P25" i="1"/>
  <c r="Q25" i="1" s="1"/>
  <c r="U25" i="1" s="1"/>
  <c r="P26" i="1"/>
  <c r="Q26" i="1" s="1"/>
  <c r="U26" i="1" s="1"/>
  <c r="P27" i="1"/>
  <c r="Q27" i="1" s="1"/>
  <c r="P28" i="1"/>
  <c r="Q28" i="1" s="1"/>
  <c r="P29" i="1"/>
  <c r="Q29" i="1" s="1"/>
  <c r="P30" i="1"/>
  <c r="R30" i="1" s="1"/>
  <c r="Y30" i="1" s="1"/>
  <c r="P31" i="1"/>
  <c r="Q31" i="1" s="1"/>
  <c r="P32" i="1"/>
  <c r="Q32" i="1" s="1"/>
  <c r="P33" i="1"/>
  <c r="Q33" i="1" s="1"/>
  <c r="P34" i="1"/>
  <c r="Q34" i="1" s="1"/>
  <c r="U34" i="1" s="1"/>
  <c r="P35" i="1"/>
  <c r="Q35" i="1" s="1"/>
  <c r="U35" i="1" s="1"/>
  <c r="P36" i="1"/>
  <c r="Q36" i="1" s="1"/>
  <c r="U36" i="1" s="1"/>
  <c r="P17" i="1"/>
  <c r="R17" i="1" s="1"/>
  <c r="E2" i="1"/>
  <c r="H2" i="1" s="1"/>
  <c r="E3" i="1"/>
  <c r="G3" i="1" s="1"/>
  <c r="E4" i="1"/>
  <c r="F4" i="1" s="1"/>
  <c r="E5" i="1"/>
  <c r="F5" i="1" s="1"/>
  <c r="E6" i="1"/>
  <c r="F6" i="1" s="1"/>
  <c r="E7" i="1"/>
  <c r="F7" i="1" s="1"/>
  <c r="E8" i="1"/>
  <c r="H8" i="1" s="1"/>
  <c r="E9" i="1"/>
  <c r="F9" i="1" s="1"/>
  <c r="E10" i="1"/>
  <c r="G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G17" i="1" s="1"/>
  <c r="E18" i="1"/>
  <c r="F18" i="1" s="1"/>
  <c r="E19" i="1"/>
  <c r="G19" i="1" s="1"/>
  <c r="E20" i="1"/>
  <c r="F20" i="1" s="1"/>
  <c r="E21" i="1"/>
  <c r="F21" i="1" s="1"/>
  <c r="E22" i="1"/>
  <c r="F22" i="1" s="1"/>
  <c r="E23" i="1"/>
  <c r="G23" i="1" s="1"/>
  <c r="E24" i="1"/>
  <c r="H24" i="1" s="1"/>
  <c r="E25" i="1"/>
  <c r="F25" i="1" s="1"/>
  <c r="E26" i="1"/>
  <c r="G26" i="1" s="1"/>
  <c r="E27" i="1"/>
  <c r="G27" i="1" s="1"/>
  <c r="E28" i="1"/>
  <c r="H28" i="1" s="1"/>
  <c r="E29" i="1"/>
  <c r="G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U33" i="1" l="1"/>
  <c r="S32" i="1"/>
  <c r="U31" i="1"/>
  <c r="U29" i="1"/>
  <c r="U28" i="1"/>
  <c r="U27" i="1"/>
  <c r="Q17" i="1"/>
  <c r="R19" i="1"/>
  <c r="X19" i="1" s="1"/>
  <c r="R32" i="1"/>
  <c r="Y32" i="1" s="1"/>
  <c r="R31" i="1"/>
  <c r="W31" i="1" s="1"/>
  <c r="F17" i="1"/>
  <c r="R28" i="1"/>
  <c r="W28" i="1" s="1"/>
  <c r="R25" i="1"/>
  <c r="W25" i="1" s="1"/>
  <c r="W17" i="1"/>
  <c r="Y17" i="1"/>
  <c r="R36" i="1"/>
  <c r="X36" i="1" s="1"/>
  <c r="H16" i="1"/>
  <c r="U32" i="1"/>
  <c r="R34" i="1"/>
  <c r="R29" i="1"/>
  <c r="X29" i="1" s="1"/>
  <c r="R18" i="1"/>
  <c r="G16" i="1"/>
  <c r="R27" i="1"/>
  <c r="Y27" i="1" s="1"/>
  <c r="F24" i="1"/>
  <c r="H23" i="1"/>
  <c r="H17" i="1"/>
  <c r="R20" i="1"/>
  <c r="Y20" i="1" s="1"/>
  <c r="R33" i="1"/>
  <c r="R26" i="1"/>
  <c r="G32" i="1"/>
  <c r="T32" i="1"/>
  <c r="R23" i="1"/>
  <c r="S28" i="1"/>
  <c r="T28" i="1"/>
  <c r="T27" i="1"/>
  <c r="S27" i="1"/>
  <c r="H13" i="1"/>
  <c r="H7" i="1"/>
  <c r="F26" i="1"/>
  <c r="F3" i="1"/>
  <c r="R35" i="1"/>
  <c r="R22" i="1"/>
  <c r="H25" i="1"/>
  <c r="F10" i="1"/>
  <c r="H9" i="1"/>
  <c r="G8" i="1"/>
  <c r="F8" i="1"/>
  <c r="H29" i="1"/>
  <c r="G24" i="1"/>
  <c r="S29" i="1"/>
  <c r="T29" i="1"/>
  <c r="T22" i="1"/>
  <c r="W24" i="1"/>
  <c r="X24" i="1"/>
  <c r="S23" i="1"/>
  <c r="T23" i="1"/>
  <c r="G36" i="1"/>
  <c r="H20" i="1"/>
  <c r="G20" i="1"/>
  <c r="H34" i="1"/>
  <c r="G34" i="1"/>
  <c r="H19" i="1"/>
  <c r="Q30" i="1"/>
  <c r="G35" i="1"/>
  <c r="H4" i="1"/>
  <c r="H33" i="1"/>
  <c r="F19" i="1"/>
  <c r="G4" i="1"/>
  <c r="G33" i="1"/>
  <c r="H18" i="1"/>
  <c r="H36" i="1"/>
  <c r="H35" i="1"/>
  <c r="Q24" i="1"/>
  <c r="G18" i="1"/>
  <c r="H3" i="1"/>
  <c r="H32" i="1"/>
  <c r="S34" i="1"/>
  <c r="T34" i="1"/>
  <c r="W21" i="1"/>
  <c r="X21" i="1"/>
  <c r="S33" i="1"/>
  <c r="T33" i="1"/>
  <c r="T26" i="1"/>
  <c r="S26" i="1"/>
  <c r="S19" i="1"/>
  <c r="T19" i="1"/>
  <c r="T31" i="1"/>
  <c r="S31" i="1"/>
  <c r="S18" i="1"/>
  <c r="T18" i="1"/>
  <c r="T20" i="1"/>
  <c r="S20" i="1"/>
  <c r="T25" i="1"/>
  <c r="S25" i="1"/>
  <c r="X17" i="1"/>
  <c r="X30" i="1"/>
  <c r="W30" i="1"/>
  <c r="S36" i="1"/>
  <c r="T36" i="1"/>
  <c r="S35" i="1"/>
  <c r="T35" i="1"/>
  <c r="G15" i="1"/>
  <c r="G13" i="1"/>
  <c r="Q21" i="1"/>
  <c r="F29" i="1"/>
  <c r="G7" i="1"/>
  <c r="G28" i="1"/>
  <c r="F23" i="1"/>
  <c r="F28" i="1"/>
  <c r="H6" i="1"/>
  <c r="G22" i="1"/>
  <c r="G6" i="1"/>
  <c r="F2" i="1"/>
  <c r="F27" i="1"/>
  <c r="H21" i="1"/>
  <c r="H5" i="1"/>
  <c r="G2" i="1"/>
  <c r="H26" i="1"/>
  <c r="G21" i="1"/>
  <c r="H10" i="1"/>
  <c r="G5" i="1"/>
  <c r="G31" i="1"/>
  <c r="H12" i="1"/>
  <c r="G12" i="1"/>
  <c r="H22" i="1"/>
  <c r="H27" i="1"/>
  <c r="H11" i="1"/>
  <c r="G11" i="1"/>
  <c r="S22" i="1"/>
  <c r="H31" i="1"/>
  <c r="H15" i="1"/>
  <c r="H30" i="1"/>
  <c r="G25" i="1"/>
  <c r="H14" i="1"/>
  <c r="G9" i="1"/>
  <c r="G30" i="1"/>
  <c r="G14" i="1"/>
  <c r="W19" i="1"/>
  <c r="AF19" i="1" s="1"/>
  <c r="V25" i="1" l="1"/>
  <c r="AA25" i="1"/>
  <c r="AC25" i="1" s="1"/>
  <c r="AB25" i="1"/>
  <c r="V20" i="1"/>
  <c r="AB20" i="1" s="1"/>
  <c r="AB18" i="1"/>
  <c r="V31" i="1"/>
  <c r="AB31" i="1" s="1"/>
  <c r="AA31" i="1"/>
  <c r="AC31" i="1" s="1"/>
  <c r="AB23" i="1"/>
  <c r="AC23" i="1" s="1"/>
  <c r="AB19" i="1"/>
  <c r="AB35" i="1"/>
  <c r="V26" i="1"/>
  <c r="AB26" i="1" s="1"/>
  <c r="AA26" i="1"/>
  <c r="AC26" i="1" s="1"/>
  <c r="V27" i="1"/>
  <c r="AA27" i="1"/>
  <c r="AC27" i="1" s="1"/>
  <c r="AB27" i="1"/>
  <c r="V36" i="1"/>
  <c r="AB36" i="1" s="1"/>
  <c r="V29" i="1"/>
  <c r="AB29" i="1" s="1"/>
  <c r="AB28" i="1"/>
  <c r="AC28" i="1" s="1"/>
  <c r="V32" i="1"/>
  <c r="AB32" i="1" s="1"/>
  <c r="AA34" i="1"/>
  <c r="V34" i="1"/>
  <c r="AB34" i="1" s="1"/>
  <c r="AC34" i="1" s="1"/>
  <c r="V18" i="1"/>
  <c r="AA18" i="1" s="1"/>
  <c r="AC18" i="1" s="1"/>
  <c r="V23" i="1"/>
  <c r="AA23" i="1"/>
  <c r="V19" i="1"/>
  <c r="AA19" i="1"/>
  <c r="AC19" i="1" s="1"/>
  <c r="V35" i="1"/>
  <c r="AA35" i="1" s="1"/>
  <c r="AC35" i="1" s="1"/>
  <c r="V22" i="1"/>
  <c r="AB22" i="1" s="1"/>
  <c r="AA22" i="1"/>
  <c r="AC22" i="1" s="1"/>
  <c r="V33" i="1"/>
  <c r="AA33" i="1" s="1"/>
  <c r="V28" i="1"/>
  <c r="AA28" i="1"/>
  <c r="AF30" i="1"/>
  <c r="U24" i="1"/>
  <c r="X28" i="1"/>
  <c r="AF28" i="1" s="1"/>
  <c r="Y19" i="1"/>
  <c r="U30" i="1"/>
  <c r="X31" i="1"/>
  <c r="AF31" i="1" s="1"/>
  <c r="AF21" i="1"/>
  <c r="Y31" i="1"/>
  <c r="Y28" i="1"/>
  <c r="AF24" i="1"/>
  <c r="W32" i="1"/>
  <c r="X32" i="1"/>
  <c r="AF17" i="1"/>
  <c r="X25" i="1"/>
  <c r="AF25" i="1" s="1"/>
  <c r="Y25" i="1"/>
  <c r="Y23" i="1"/>
  <c r="W29" i="1"/>
  <c r="AF29" i="1" s="1"/>
  <c r="Y29" i="1"/>
  <c r="Y22" i="1"/>
  <c r="W34" i="1"/>
  <c r="Y34" i="1"/>
  <c r="X34" i="1"/>
  <c r="X35" i="1"/>
  <c r="Y35" i="1"/>
  <c r="X26" i="1"/>
  <c r="Y26" i="1"/>
  <c r="Y33" i="1"/>
  <c r="U21" i="1"/>
  <c r="T17" i="1"/>
  <c r="U17" i="1"/>
  <c r="W18" i="1"/>
  <c r="Y18" i="1"/>
  <c r="W36" i="1"/>
  <c r="AF36" i="1" s="1"/>
  <c r="Y36" i="1"/>
  <c r="S30" i="1"/>
  <c r="W27" i="1"/>
  <c r="X27" i="1"/>
  <c r="X18" i="1"/>
  <c r="W20" i="1"/>
  <c r="X20" i="1"/>
  <c r="W26" i="1"/>
  <c r="AF26" i="1" s="1"/>
  <c r="S17" i="1"/>
  <c r="W23" i="1"/>
  <c r="X23" i="1"/>
  <c r="W35" i="1"/>
  <c r="W33" i="1"/>
  <c r="X33" i="1"/>
  <c r="W22" i="1"/>
  <c r="X22" i="1"/>
  <c r="S24" i="1"/>
  <c r="T24" i="1"/>
  <c r="T30" i="1"/>
  <c r="S21" i="1"/>
  <c r="T21" i="1"/>
  <c r="AA32" i="1" l="1"/>
  <c r="AC32" i="1" s="1"/>
  <c r="AA29" i="1"/>
  <c r="AC29" i="1" s="1"/>
  <c r="AA36" i="1"/>
  <c r="AC36" i="1" s="1"/>
  <c r="AA20" i="1"/>
  <c r="AC20" i="1" s="1"/>
  <c r="V30" i="1"/>
  <c r="AB30" i="1" s="1"/>
  <c r="V24" i="1"/>
  <c r="AB24" i="1" s="1"/>
  <c r="AC24" i="1" s="1"/>
  <c r="AA24" i="1"/>
  <c r="AB33" i="1"/>
  <c r="AC33" i="1" s="1"/>
  <c r="V17" i="1"/>
  <c r="AB17" i="1" s="1"/>
  <c r="AB21" i="1"/>
  <c r="V21" i="1"/>
  <c r="AA21" i="1" s="1"/>
  <c r="AC21" i="1" s="1"/>
  <c r="AF35" i="1"/>
  <c r="AF20" i="1"/>
  <c r="AF27" i="1"/>
  <c r="AF23" i="1"/>
  <c r="AF34" i="1"/>
  <c r="AF32" i="1"/>
  <c r="AF18" i="1"/>
  <c r="AF22" i="1"/>
  <c r="AF33" i="1"/>
  <c r="AC17" i="1" l="1"/>
  <c r="AA30" i="1"/>
  <c r="AC30" i="1" s="1"/>
</calcChain>
</file>

<file path=xl/sharedStrings.xml><?xml version="1.0" encoding="utf-8"?>
<sst xmlns="http://schemas.openxmlformats.org/spreadsheetml/2006/main" count="42" uniqueCount="30">
  <si>
    <t>Años</t>
  </si>
  <si>
    <t>Camiones y furgonetas gasolina</t>
  </si>
  <si>
    <t>Camiones y furgonetas diesel</t>
  </si>
  <si>
    <t>Camiones y furgonetas OTROS</t>
  </si>
  <si>
    <t>Motocicletas</t>
  </si>
  <si>
    <t>Ciclomotores</t>
  </si>
  <si>
    <t>turismos_gasolina</t>
  </si>
  <si>
    <t>turismos_diesel</t>
  </si>
  <si>
    <t>turismos_otros</t>
  </si>
  <si>
    <t>total_camiones_furgonetas</t>
  </si>
  <si>
    <t>pct_furgos_total</t>
  </si>
  <si>
    <t>pct_camiones_total</t>
  </si>
  <si>
    <t>total_furgonetas</t>
  </si>
  <si>
    <t>total_camiones</t>
  </si>
  <si>
    <t>furgonteas_gasolina</t>
  </si>
  <si>
    <t>camiones_gasolina</t>
  </si>
  <si>
    <t>furgonetas_diesel</t>
  </si>
  <si>
    <t>camiones_diesel</t>
  </si>
  <si>
    <t xml:space="preserve">total_turismos </t>
  </si>
  <si>
    <t>pct_turismos_gasolina</t>
  </si>
  <si>
    <t>pct_turismos_diesel</t>
  </si>
  <si>
    <t>pct_turismos_otros</t>
  </si>
  <si>
    <t>pct_furgonetas_gasolina</t>
  </si>
  <si>
    <t>pct_furgonetas_diesel</t>
  </si>
  <si>
    <t>pct_camiones_gasolina</t>
  </si>
  <si>
    <t>pct_camiones_diesel</t>
  </si>
  <si>
    <t>furgonetas_otros</t>
  </si>
  <si>
    <t>camiones otros</t>
  </si>
  <si>
    <t>pct_furgonetas_otros</t>
  </si>
  <si>
    <t>pct_camiones_otros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</si>
</sst>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#######0"/>
    <numFmt numFmtId="165" formatCode="##,###,###,###,###,###,##0"/>
    <numFmt numFmtId="168" formatCode="0.0000"/>
    <numFmt numFmtId="170" formatCode="0.0000000"/>
    <numFmt numFmtId="171" formatCode="0.0"/>
  </numFmts>
  <fonts count="5">
    <font>
      <sz val="11"/>
      <color theme="1"/>
      <name val="Calibri"/>
      <family val="2"/>
      <scheme val="minor"/>
    </font>
    <font>
      <b/>
      <sz val="9.5"/>
      <color rgb="FF112277"/>
      <name val="Albany AMT"/>
    </font>
    <font>
      <sz val="9.5"/>
      <color rgb="FF112277"/>
      <name val="Albany AMT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B0B7BB"/>
      </left>
      <right style="thin">
        <color rgb="FFB0B7BB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165" fontId="0" fillId="3" borderId="2" xfId="0" applyNumberFormat="1" applyFill="1" applyBorder="1" applyAlignment="1">
      <alignment horizontal="right"/>
    </xf>
    <xf numFmtId="165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165" fontId="0" fillId="3" borderId="0" xfId="0" applyNumberFormat="1" applyFill="1" applyAlignment="1">
      <alignment horizontal="right"/>
    </xf>
    <xf numFmtId="0" fontId="0" fillId="4" borderId="0" xfId="0" applyFill="1"/>
    <xf numFmtId="0" fontId="1" fillId="4" borderId="1" xfId="0" applyFont="1" applyFill="1" applyBorder="1" applyAlignment="1">
      <alignment horizontal="center"/>
    </xf>
    <xf numFmtId="2" fontId="0" fillId="4" borderId="0" xfId="0" applyNumberFormat="1" applyFill="1"/>
    <xf numFmtId="2" fontId="1" fillId="4" borderId="3" xfId="0" applyNumberFormat="1" applyFont="1" applyFill="1" applyBorder="1" applyAlignment="1">
      <alignment horizontal="center" wrapText="1"/>
    </xf>
    <xf numFmtId="2" fontId="0" fillId="0" borderId="0" xfId="0" applyNumberFormat="1"/>
    <xf numFmtId="0" fontId="1" fillId="4" borderId="3" xfId="0" applyFont="1" applyFill="1" applyBorder="1" applyAlignment="1">
      <alignment horizontal="center" wrapText="1"/>
    </xf>
    <xf numFmtId="168" fontId="0" fillId="4" borderId="0" xfId="0" applyNumberFormat="1" applyFill="1"/>
    <xf numFmtId="170" fontId="1" fillId="4" borderId="3" xfId="0" applyNumberFormat="1" applyFont="1" applyFill="1" applyBorder="1" applyAlignment="1">
      <alignment horizontal="center" wrapText="1"/>
    </xf>
    <xf numFmtId="170" fontId="0" fillId="4" borderId="0" xfId="0" applyNumberFormat="1" applyFill="1"/>
    <xf numFmtId="1" fontId="0" fillId="0" borderId="0" xfId="0" applyNumberFormat="1"/>
    <xf numFmtId="165" fontId="3" fillId="3" borderId="2" xfId="0" applyNumberFormat="1" applyFont="1" applyFill="1" applyBorder="1" applyAlignment="1">
      <alignment horizontal="right"/>
    </xf>
    <xf numFmtId="0" fontId="3" fillId="0" borderId="0" xfId="0" applyFont="1"/>
    <xf numFmtId="0" fontId="0" fillId="5" borderId="0" xfId="0" applyFill="1"/>
    <xf numFmtId="171" fontId="0" fillId="5" borderId="0" xfId="0" applyNumberFormat="1" applyFill="1"/>
    <xf numFmtId="0" fontId="0" fillId="6" borderId="0" xfId="0" applyFill="1"/>
    <xf numFmtId="171" fontId="0" fillId="6" borderId="0" xfId="0" applyNumberFormat="1" applyFill="1"/>
    <xf numFmtId="165" fontId="4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6094-4108-42A2-B02C-E91428D02415}">
  <dimension ref="A1:M36"/>
  <sheetViews>
    <sheetView tabSelected="1" workbookViewId="0">
      <selection activeCell="L8" sqref="L8"/>
    </sheetView>
  </sheetViews>
  <sheetFormatPr baseColWidth="10" defaultRowHeight="14.4"/>
  <cols>
    <col min="1" max="1" width="12.44140625" bestFit="1" customWidth="1"/>
    <col min="2" max="2" width="21.33203125" style="9" bestFit="1" customWidth="1"/>
    <col min="3" max="3" width="18.88671875" style="9" bestFit="1" customWidth="1"/>
    <col min="4" max="4" width="18.88671875" style="9" customWidth="1"/>
    <col min="5" max="5" width="18.88671875" style="9" bestFit="1" customWidth="1"/>
    <col min="6" max="6" width="17.88671875" style="11" customWidth="1"/>
    <col min="7" max="7" width="20.21875" style="11" customWidth="1"/>
  </cols>
  <sheetData>
    <row r="1" spans="1:13">
      <c r="A1" s="1" t="s">
        <v>0</v>
      </c>
      <c r="B1" s="10" t="s">
        <v>19</v>
      </c>
      <c r="C1" s="10" t="s">
        <v>20</v>
      </c>
      <c r="D1" s="10"/>
      <c r="E1" s="10" t="s">
        <v>20</v>
      </c>
      <c r="F1" s="12" t="s">
        <v>10</v>
      </c>
      <c r="G1" s="12" t="s">
        <v>11</v>
      </c>
      <c r="H1" t="s">
        <v>22</v>
      </c>
      <c r="I1" t="s">
        <v>23</v>
      </c>
      <c r="J1" t="s">
        <v>28</v>
      </c>
      <c r="K1" t="s">
        <v>24</v>
      </c>
      <c r="L1" t="s">
        <v>25</v>
      </c>
      <c r="M1" t="s">
        <v>29</v>
      </c>
    </row>
    <row r="2" spans="1:13">
      <c r="A2" s="2">
        <v>1990</v>
      </c>
      <c r="B2" s="11">
        <v>89.823419175633816</v>
      </c>
      <c r="C2" s="11">
        <v>10.176580824366185</v>
      </c>
      <c r="D2" s="11"/>
      <c r="E2" s="11">
        <v>0</v>
      </c>
    </row>
    <row r="3" spans="1:13">
      <c r="A3" s="2">
        <v>1991</v>
      </c>
      <c r="B3" s="11">
        <v>89.491388717597275</v>
      </c>
      <c r="C3" s="11">
        <v>10.508611282402731</v>
      </c>
      <c r="D3" s="11"/>
      <c r="E3" s="11">
        <v>0</v>
      </c>
    </row>
    <row r="4" spans="1:13">
      <c r="A4" s="2">
        <v>1992</v>
      </c>
      <c r="B4" s="11">
        <v>88.844556502930601</v>
      </c>
      <c r="C4" s="11">
        <v>11.155443497069404</v>
      </c>
      <c r="D4" s="11"/>
      <c r="E4" s="11">
        <v>0</v>
      </c>
    </row>
    <row r="5" spans="1:13">
      <c r="A5" s="2">
        <v>1993</v>
      </c>
      <c r="B5" s="11">
        <v>88.080511318835178</v>
      </c>
      <c r="C5" s="11">
        <v>11.919488681164827</v>
      </c>
      <c r="D5" s="11"/>
      <c r="E5" s="11">
        <v>0</v>
      </c>
    </row>
    <row r="6" spans="1:13">
      <c r="A6" s="2">
        <v>1994</v>
      </c>
      <c r="B6" s="11">
        <v>86.848149899437843</v>
      </c>
      <c r="C6" s="11">
        <v>13.151850100562161</v>
      </c>
      <c r="D6" s="11"/>
      <c r="E6" s="11">
        <v>0</v>
      </c>
    </row>
    <row r="7" spans="1:13">
      <c r="A7" s="2">
        <v>1995</v>
      </c>
      <c r="B7" s="11">
        <v>85.511620636803755</v>
      </c>
      <c r="C7" s="11">
        <v>14.488379363196238</v>
      </c>
      <c r="D7" s="11"/>
      <c r="E7" s="11">
        <v>0</v>
      </c>
    </row>
    <row r="8" spans="1:13">
      <c r="A8" s="2">
        <v>1996</v>
      </c>
      <c r="B8" s="11">
        <v>83.791629673394851</v>
      </c>
      <c r="C8" s="11">
        <v>16.208370326605149</v>
      </c>
      <c r="D8" s="11"/>
      <c r="E8" s="11">
        <v>0</v>
      </c>
    </row>
    <row r="9" spans="1:13">
      <c r="A9" s="2">
        <v>1997</v>
      </c>
      <c r="B9" s="11">
        <v>81.65204388781703</v>
      </c>
      <c r="C9" s="11">
        <v>18.347956112182974</v>
      </c>
      <c r="D9" s="11"/>
      <c r="E9" s="11">
        <v>0</v>
      </c>
    </row>
    <row r="10" spans="1:13">
      <c r="A10" s="2">
        <v>1998</v>
      </c>
      <c r="B10" s="11">
        <v>79.010373608018966</v>
      </c>
      <c r="C10" s="11">
        <v>20.989626391981037</v>
      </c>
      <c r="D10" s="11"/>
      <c r="E10" s="11">
        <v>0</v>
      </c>
    </row>
    <row r="11" spans="1:13">
      <c r="A11" s="2">
        <v>1999</v>
      </c>
      <c r="B11" s="11">
        <v>75.99380485899394</v>
      </c>
      <c r="C11" s="11">
        <v>24.006195141006057</v>
      </c>
      <c r="D11" s="11"/>
      <c r="E11" s="11">
        <v>0</v>
      </c>
    </row>
    <row r="12" spans="1:13">
      <c r="A12" s="2">
        <v>2000</v>
      </c>
      <c r="B12" s="11">
        <v>73.051746967703735</v>
      </c>
      <c r="C12" s="11">
        <v>26.948253032296257</v>
      </c>
      <c r="D12" s="11"/>
      <c r="E12" s="11">
        <v>0</v>
      </c>
    </row>
    <row r="13" spans="1:13">
      <c r="A13" s="2">
        <v>2001</v>
      </c>
      <c r="B13" s="11">
        <v>70.496499343282537</v>
      </c>
      <c r="C13" s="11">
        <v>29.50350065671747</v>
      </c>
      <c r="D13" s="11"/>
      <c r="E13" s="11">
        <v>0</v>
      </c>
    </row>
    <row r="14" spans="1:13">
      <c r="A14" s="2">
        <v>2002</v>
      </c>
      <c r="B14" s="11">
        <v>67.949410419208576</v>
      </c>
      <c r="C14" s="11">
        <v>32.050589580791424</v>
      </c>
      <c r="D14" s="11"/>
      <c r="E14" s="11">
        <v>0</v>
      </c>
    </row>
    <row r="15" spans="1:13">
      <c r="A15" s="2">
        <v>2003</v>
      </c>
      <c r="B15" s="11">
        <v>64.724255577815455</v>
      </c>
      <c r="C15" s="11">
        <v>35.275744422184552</v>
      </c>
      <c r="D15" s="11"/>
      <c r="E15" s="11">
        <v>0</v>
      </c>
    </row>
    <row r="16" spans="1:13">
      <c r="A16" s="2">
        <v>2004</v>
      </c>
      <c r="B16" s="11">
        <v>61.586058236453553</v>
      </c>
      <c r="C16" s="11">
        <v>38.413941763546447</v>
      </c>
      <c r="D16" s="11"/>
      <c r="E16" s="11">
        <v>0</v>
      </c>
    </row>
    <row r="17" spans="1:13">
      <c r="A17" s="2">
        <v>2005</v>
      </c>
      <c r="B17" s="11">
        <v>58.347812487639118</v>
      </c>
      <c r="C17" s="11">
        <v>41.652187512360882</v>
      </c>
      <c r="D17" s="11"/>
      <c r="E17" s="11">
        <v>0</v>
      </c>
      <c r="F17" s="11">
        <v>50.789715112278977</v>
      </c>
      <c r="G17" s="11">
        <v>49.210284887721023</v>
      </c>
      <c r="H17">
        <v>15.36834648182664</v>
      </c>
      <c r="I17">
        <v>84.631653518173366</v>
      </c>
      <c r="J17">
        <v>0</v>
      </c>
      <c r="K17">
        <v>15.368346481826638</v>
      </c>
      <c r="L17">
        <v>84.631653518173366</v>
      </c>
      <c r="M17">
        <v>0</v>
      </c>
    </row>
    <row r="18" spans="1:13">
      <c r="A18" s="2">
        <v>2006</v>
      </c>
      <c r="B18" s="11">
        <v>55.420497812166211</v>
      </c>
      <c r="C18" s="11">
        <v>44.556502608542743</v>
      </c>
      <c r="D18" s="11"/>
      <c r="E18" s="11">
        <v>2.2999579291049607E-2</v>
      </c>
      <c r="F18" s="11">
        <v>48.937092294761761</v>
      </c>
      <c r="G18" s="11">
        <v>51.062907705238239</v>
      </c>
      <c r="H18">
        <v>14.140616627643027</v>
      </c>
      <c r="I18">
        <v>85.513447730512809</v>
      </c>
      <c r="J18">
        <v>0.34593564184416437</v>
      </c>
      <c r="K18">
        <v>14.140616627643025</v>
      </c>
      <c r="L18">
        <v>85.513447730512809</v>
      </c>
      <c r="M18">
        <v>0.34593564184416437</v>
      </c>
    </row>
    <row r="19" spans="1:13">
      <c r="A19" s="2">
        <v>2007</v>
      </c>
      <c r="B19" s="11">
        <v>52.850326472573244</v>
      </c>
      <c r="C19" s="11">
        <v>47.129356594299288</v>
      </c>
      <c r="D19" s="11"/>
      <c r="E19" s="11">
        <v>2.0316933127464881E-2</v>
      </c>
      <c r="F19" s="11">
        <v>47.381874362183609</v>
      </c>
      <c r="G19" s="11">
        <v>52.618125637816391</v>
      </c>
      <c r="H19">
        <v>13.113284401961391</v>
      </c>
      <c r="I19">
        <v>86.585310502141382</v>
      </c>
      <c r="J19">
        <v>0.30140509589722342</v>
      </c>
      <c r="K19">
        <v>13.113284401961396</v>
      </c>
      <c r="L19">
        <v>86.585310502141411</v>
      </c>
      <c r="M19">
        <v>0.301405095897195</v>
      </c>
    </row>
    <row r="20" spans="1:13">
      <c r="A20" s="2">
        <v>2008</v>
      </c>
      <c r="B20" s="11">
        <v>51.227918403147491</v>
      </c>
      <c r="C20" s="11">
        <v>48.753432095313492</v>
      </c>
      <c r="D20" s="11"/>
      <c r="E20" s="11">
        <v>1.8649501539012861E-2</v>
      </c>
      <c r="F20" s="11">
        <v>46.645008617702757</v>
      </c>
      <c r="G20" s="11">
        <v>53.354991382297243</v>
      </c>
      <c r="H20">
        <v>12.540724430203586</v>
      </c>
      <c r="I20">
        <v>87.139893121891419</v>
      </c>
      <c r="J20">
        <v>0.31938244790499937</v>
      </c>
      <c r="K20">
        <v>12.540724430203589</v>
      </c>
      <c r="L20">
        <v>87.139893121891433</v>
      </c>
      <c r="M20">
        <v>0.31938244790498516</v>
      </c>
    </row>
    <row r="21" spans="1:13">
      <c r="A21" s="2">
        <v>2009</v>
      </c>
      <c r="B21" s="11">
        <v>49.585654867733666</v>
      </c>
      <c r="C21" s="11">
        <v>50.397077624407594</v>
      </c>
      <c r="D21" s="11"/>
      <c r="E21" s="11">
        <v>1.7267507858740323E-2</v>
      </c>
      <c r="F21" s="11">
        <v>46.031551644849692</v>
      </c>
      <c r="G21" s="11">
        <v>53.968448355150308</v>
      </c>
      <c r="H21">
        <v>12.119996558371644</v>
      </c>
      <c r="I21">
        <v>87.388311796026144</v>
      </c>
      <c r="J21">
        <v>0.49169164560221645</v>
      </c>
      <c r="K21">
        <v>12.119996558371648</v>
      </c>
      <c r="L21">
        <v>87.388311796026159</v>
      </c>
      <c r="M21">
        <v>0.49169164560218803</v>
      </c>
    </row>
    <row r="22" spans="1:13">
      <c r="A22" s="2">
        <v>2010</v>
      </c>
      <c r="B22" s="11">
        <v>48.208712919836614</v>
      </c>
      <c r="C22" s="11">
        <v>51.774987238940092</v>
      </c>
      <c r="D22" s="11"/>
      <c r="E22" s="11">
        <v>1.6299841223291797E-2</v>
      </c>
      <c r="F22" s="11">
        <v>45.711052942997426</v>
      </c>
      <c r="G22" s="11">
        <v>54.288947057002574</v>
      </c>
      <c r="H22">
        <v>11.752663461103566</v>
      </c>
      <c r="I22">
        <v>87.717958535630572</v>
      </c>
      <c r="J22">
        <v>0.52937800326586171</v>
      </c>
      <c r="K22">
        <v>11.752663461103563</v>
      </c>
      <c r="L22">
        <v>87.717958535630558</v>
      </c>
      <c r="M22">
        <v>0.52937800326587592</v>
      </c>
    </row>
    <row r="23" spans="1:13">
      <c r="A23" s="2">
        <v>2011</v>
      </c>
      <c r="B23" s="11">
        <v>47.178690505881249</v>
      </c>
      <c r="C23" s="11">
        <v>52.80390608461262</v>
      </c>
      <c r="D23" s="11"/>
      <c r="E23" s="11">
        <v>1.740340950613101E-2</v>
      </c>
      <c r="F23" s="11">
        <v>45.681675048368881</v>
      </c>
      <c r="G23" s="11">
        <v>54.318324951631119</v>
      </c>
      <c r="H23">
        <v>11.453689337066809</v>
      </c>
      <c r="I23">
        <v>87.978505647584299</v>
      </c>
      <c r="J23">
        <v>0.56780501534889538</v>
      </c>
      <c r="K23">
        <v>11.453689337066811</v>
      </c>
      <c r="L23">
        <v>87.978505647584299</v>
      </c>
      <c r="M23">
        <v>0.56780501534889538</v>
      </c>
    </row>
    <row r="24" spans="1:13">
      <c r="A24" s="2">
        <v>2012</v>
      </c>
      <c r="B24" s="11">
        <v>46.320260839766107</v>
      </c>
      <c r="C24" s="11">
        <v>53.657956964926619</v>
      </c>
      <c r="D24" s="11"/>
      <c r="E24" s="11">
        <v>2.1782195307271893E-2</v>
      </c>
      <c r="F24" s="11">
        <v>45.896601656020138</v>
      </c>
      <c r="G24" s="11">
        <v>54.103398343979862</v>
      </c>
      <c r="H24">
        <v>11.33494902246289</v>
      </c>
      <c r="I24">
        <v>87.990919074866795</v>
      </c>
      <c r="J24">
        <v>0.67413190267031098</v>
      </c>
      <c r="K24">
        <v>11.33494902246289</v>
      </c>
      <c r="L24">
        <v>87.990919074866795</v>
      </c>
      <c r="M24">
        <v>0.67413190267031098</v>
      </c>
    </row>
    <row r="25" spans="1:13">
      <c r="A25" s="2">
        <v>2013</v>
      </c>
      <c r="B25" s="11">
        <v>45.205524855958387</v>
      </c>
      <c r="C25" s="11">
        <v>54.76437689635079</v>
      </c>
      <c r="D25" s="11"/>
      <c r="E25" s="11">
        <v>3.0098247690825568E-2</v>
      </c>
      <c r="F25" s="11">
        <v>45.916807301786328</v>
      </c>
      <c r="G25" s="11">
        <v>54.083192698213672</v>
      </c>
      <c r="H25">
        <v>11.004071143346781</v>
      </c>
      <c r="I25">
        <v>88.214808822009005</v>
      </c>
      <c r="J25">
        <v>0.78112003464421775</v>
      </c>
      <c r="K25">
        <v>11.004071143346778</v>
      </c>
      <c r="L25">
        <v>88.21480882200899</v>
      </c>
      <c r="M25">
        <v>0.78112003464423196</v>
      </c>
    </row>
    <row r="26" spans="1:13">
      <c r="A26" s="2">
        <v>2014</v>
      </c>
      <c r="B26" s="11">
        <v>44.012336723573362</v>
      </c>
      <c r="C26" s="11">
        <v>55.951734200921017</v>
      </c>
      <c r="D26" s="11"/>
      <c r="E26" s="11">
        <v>3.592907550562173E-2</v>
      </c>
      <c r="F26" s="11">
        <v>46.087062174397104</v>
      </c>
      <c r="G26" s="11">
        <v>53.912937825602896</v>
      </c>
      <c r="H26">
        <v>10.555024041071617</v>
      </c>
      <c r="I26">
        <v>88.524531726634478</v>
      </c>
      <c r="J26">
        <v>0.92044423229390304</v>
      </c>
      <c r="K26">
        <v>10.555024041071613</v>
      </c>
      <c r="L26">
        <v>88.524531726634464</v>
      </c>
      <c r="M26">
        <v>0.92044423229391725</v>
      </c>
    </row>
    <row r="27" spans="1:13">
      <c r="A27" s="2">
        <v>2015</v>
      </c>
      <c r="B27" s="11">
        <v>43.289449075931884</v>
      </c>
      <c r="C27" s="11">
        <v>56.65383122552705</v>
      </c>
      <c r="D27" s="11"/>
      <c r="E27" s="11">
        <v>5.6719698541064678E-2</v>
      </c>
      <c r="F27" s="11">
        <v>46.591005124581628</v>
      </c>
      <c r="G27" s="11">
        <v>53.408994875418372</v>
      </c>
      <c r="H27">
        <v>10.296802056874762</v>
      </c>
      <c r="I27">
        <v>88.788066103552651</v>
      </c>
      <c r="J27">
        <v>0.91513183957258093</v>
      </c>
      <c r="K27">
        <v>10.29680205687476</v>
      </c>
      <c r="L27">
        <v>88.788066103552623</v>
      </c>
      <c r="M27">
        <v>0.91513183957260935</v>
      </c>
    </row>
    <row r="28" spans="1:13">
      <c r="A28" s="2">
        <v>2016</v>
      </c>
      <c r="B28" s="11">
        <v>42.927944999372727</v>
      </c>
      <c r="C28" s="11">
        <v>56.99506006732576</v>
      </c>
      <c r="D28" s="11"/>
      <c r="E28" s="11">
        <v>7.6994933301510748E-2</v>
      </c>
      <c r="F28" s="11">
        <v>47.24419405346471</v>
      </c>
      <c r="G28" s="11">
        <v>52.75580594653529</v>
      </c>
      <c r="H28">
        <v>10.056779442728027</v>
      </c>
      <c r="I28">
        <v>88.868444347194739</v>
      </c>
      <c r="J28">
        <v>1.074776210077232</v>
      </c>
      <c r="K28">
        <v>10.056779442728027</v>
      </c>
      <c r="L28">
        <v>88.868444347194725</v>
      </c>
      <c r="M28">
        <v>1.0747762100772462</v>
      </c>
    </row>
    <row r="29" spans="1:13">
      <c r="A29" s="2">
        <v>2017</v>
      </c>
      <c r="B29" s="11">
        <v>42.989283459460971</v>
      </c>
      <c r="C29" s="11">
        <v>56.883620836938057</v>
      </c>
      <c r="D29" s="11"/>
      <c r="E29" s="11">
        <v>0.12709570360097261</v>
      </c>
      <c r="F29" s="11">
        <v>47.47780271444109</v>
      </c>
      <c r="G29" s="11">
        <v>52.52219728555891</v>
      </c>
      <c r="H29">
        <v>9.8183484833235148</v>
      </c>
      <c r="I29">
        <v>88.749463177484046</v>
      </c>
      <c r="J29">
        <v>1.4321883391924359</v>
      </c>
      <c r="K29">
        <v>9.8183484833235166</v>
      </c>
      <c r="L29">
        <v>88.749463177484046</v>
      </c>
      <c r="M29">
        <v>1.4321883391924359</v>
      </c>
    </row>
    <row r="30" spans="1:13">
      <c r="A30" s="2">
        <v>2018</v>
      </c>
      <c r="B30" s="11">
        <v>43.647022069438712</v>
      </c>
      <c r="C30" s="11">
        <v>56.08314079279473</v>
      </c>
      <c r="D30" s="11"/>
      <c r="E30" s="11">
        <v>0.26983713776656132</v>
      </c>
      <c r="F30" s="11">
        <v>48.31481630569187</v>
      </c>
      <c r="G30" s="11">
        <v>51.68518369430813</v>
      </c>
      <c r="H30">
        <v>9.6170525943964904</v>
      </c>
      <c r="I30">
        <v>88.073301028349519</v>
      </c>
      <c r="J30">
        <v>2.3096463772539835</v>
      </c>
      <c r="K30">
        <v>9.617052594396494</v>
      </c>
      <c r="L30">
        <v>88.073301028349547</v>
      </c>
      <c r="M30">
        <v>2.3096463772539551</v>
      </c>
    </row>
    <row r="31" spans="1:13">
      <c r="A31" s="2">
        <v>2019</v>
      </c>
      <c r="B31" s="11">
        <v>44.54358203064843</v>
      </c>
      <c r="C31" s="11">
        <v>55.01292321734973</v>
      </c>
      <c r="D31" s="11"/>
      <c r="E31" s="11">
        <v>0.44349475200184246</v>
      </c>
      <c r="F31" s="11">
        <v>49.192589354049552</v>
      </c>
      <c r="G31" s="11">
        <v>50.807410645950448</v>
      </c>
      <c r="H31">
        <v>9.4524587951475514</v>
      </c>
      <c r="I31">
        <v>87.093551445183735</v>
      </c>
      <c r="J31">
        <v>3.4539897596687155</v>
      </c>
      <c r="K31">
        <v>9.4524587951475496</v>
      </c>
      <c r="L31">
        <v>87.093551445183707</v>
      </c>
      <c r="M31">
        <v>3.4539897596687439</v>
      </c>
    </row>
    <row r="32" spans="1:13">
      <c r="A32" s="2">
        <v>2020</v>
      </c>
      <c r="B32" s="11">
        <v>45.017558433101115</v>
      </c>
      <c r="C32" s="11">
        <v>54.420578990130558</v>
      </c>
      <c r="D32" s="11"/>
      <c r="E32" s="11">
        <v>0.56186257676833073</v>
      </c>
      <c r="F32" s="11">
        <v>50.01418227694419</v>
      </c>
      <c r="G32" s="11">
        <v>49.98581772305581</v>
      </c>
      <c r="H32">
        <v>9.3473927958012997</v>
      </c>
      <c r="I32">
        <v>86.399517742575981</v>
      </c>
      <c r="J32">
        <v>4.2530894616227215</v>
      </c>
      <c r="K32">
        <v>9.3473927958012979</v>
      </c>
      <c r="L32">
        <v>86.399517742575952</v>
      </c>
      <c r="M32">
        <v>4.2530894616227499</v>
      </c>
    </row>
    <row r="33" spans="1:13">
      <c r="A33" s="2">
        <v>2021</v>
      </c>
      <c r="B33" s="11">
        <v>45.761020752641969</v>
      </c>
      <c r="C33" s="11">
        <v>53.511878387724231</v>
      </c>
      <c r="D33" s="11"/>
      <c r="E33" s="11">
        <v>0.72710085963380167</v>
      </c>
      <c r="F33" s="11">
        <v>50.869255126706392</v>
      </c>
      <c r="G33" s="11">
        <v>49.130744873293608</v>
      </c>
      <c r="H33">
        <v>9.2368661529396228</v>
      </c>
      <c r="I33">
        <v>85.505363188671978</v>
      </c>
      <c r="J33">
        <v>5.2577706583883952</v>
      </c>
      <c r="K33">
        <v>9.2368661529396228</v>
      </c>
      <c r="L33">
        <v>85.505363188671993</v>
      </c>
      <c r="M33">
        <v>5.257770658388381</v>
      </c>
    </row>
    <row r="34" spans="1:13">
      <c r="A34" s="2">
        <v>2022</v>
      </c>
      <c r="B34" s="11">
        <v>46.5884580919125</v>
      </c>
      <c r="C34" s="11">
        <v>52.515982322805215</v>
      </c>
      <c r="D34" s="11"/>
      <c r="E34" s="11">
        <v>0.89555958528228352</v>
      </c>
      <c r="F34" s="11">
        <v>51.568668636558172</v>
      </c>
      <c r="G34" s="11">
        <v>48.431331363441828</v>
      </c>
      <c r="H34">
        <v>9.1709422097415771</v>
      </c>
      <c r="I34">
        <v>84.503102319417749</v>
      </c>
      <c r="J34">
        <v>6.3259554708406682</v>
      </c>
      <c r="K34">
        <v>9.1709422097415771</v>
      </c>
      <c r="L34">
        <v>84.503102319417792</v>
      </c>
      <c r="M34">
        <v>6.3259554708406256</v>
      </c>
    </row>
    <row r="35" spans="1:13">
      <c r="A35" s="2">
        <v>2023</v>
      </c>
      <c r="B35" s="11">
        <v>47.102083189879522</v>
      </c>
      <c r="C35" s="11">
        <v>51.685644373215112</v>
      </c>
      <c r="D35" s="11"/>
      <c r="E35" s="11">
        <v>1.2122724369053668</v>
      </c>
      <c r="F35" s="11">
        <v>52.080666155034613</v>
      </c>
      <c r="G35" s="11">
        <v>47.919333844965387</v>
      </c>
      <c r="H35">
        <v>8.9621764305484586</v>
      </c>
      <c r="I35">
        <v>83.109643033179793</v>
      </c>
      <c r="J35">
        <v>7.9281805362717535</v>
      </c>
      <c r="K35">
        <v>8.9621764305484604</v>
      </c>
      <c r="L35">
        <v>83.109643033179822</v>
      </c>
      <c r="M35">
        <v>7.928180536271725</v>
      </c>
    </row>
    <row r="36" spans="1:13">
      <c r="A36" s="2">
        <v>2024</v>
      </c>
      <c r="B36" s="11">
        <v>47.277752951718533</v>
      </c>
      <c r="C36" s="11">
        <v>51.118145153894915</v>
      </c>
      <c r="D36" s="11"/>
      <c r="E36" s="11">
        <v>1.6041018943865506</v>
      </c>
      <c r="F36" s="11">
        <v>52.676933602514495</v>
      </c>
      <c r="G36" s="11">
        <v>47.323066397485505</v>
      </c>
      <c r="H36">
        <v>8.8392704451715716</v>
      </c>
      <c r="I36">
        <v>81.446831723023848</v>
      </c>
      <c r="J36">
        <v>9.7138978318045872</v>
      </c>
      <c r="K36">
        <v>8.8392704451715716</v>
      </c>
      <c r="L36">
        <v>81.446831723023848</v>
      </c>
      <c r="M36">
        <v>9.7138978318045872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55D4-E1A6-41D1-AAA3-FB249F81A4A1}">
  <dimension ref="A1:AG39"/>
  <sheetViews>
    <sheetView workbookViewId="0">
      <selection activeCell="AA1" sqref="AA1:AF1048576"/>
    </sheetView>
  </sheetViews>
  <sheetFormatPr baseColWidth="10" defaultRowHeight="14.4"/>
  <cols>
    <col min="1" max="1" width="12.44140625" bestFit="1" customWidth="1"/>
    <col min="2" max="2" width="20.6640625" bestFit="1" customWidth="1"/>
    <col min="3" max="3" width="14.88671875" bestFit="1" customWidth="1"/>
    <col min="4" max="4" width="15.44140625" bestFit="1" customWidth="1"/>
    <col min="5" max="5" width="15.44140625" customWidth="1"/>
    <col min="6" max="6" width="21.33203125" style="9" bestFit="1" customWidth="1"/>
    <col min="7" max="8" width="18.88671875" style="9" bestFit="1" customWidth="1"/>
    <col min="9" max="9" width="12.33203125" customWidth="1"/>
    <col min="10" max="10" width="12.88671875" customWidth="1"/>
    <col min="11" max="11" width="23.88671875" customWidth="1"/>
    <col min="13" max="13" width="11.5546875" style="20"/>
    <col min="16" max="16" width="15.33203125" customWidth="1"/>
    <col min="17" max="18" width="11.44140625" style="17"/>
    <col min="19" max="19" width="16.5546875" bestFit="1" customWidth="1"/>
    <col min="20" max="20" width="17.5546875" bestFit="1" customWidth="1"/>
    <col min="21" max="22" width="17.5546875" customWidth="1"/>
    <col min="23" max="23" width="16.5546875" bestFit="1" customWidth="1"/>
    <col min="24" max="24" width="17.5546875" bestFit="1" customWidth="1"/>
    <col min="25" max="26" width="17.5546875" customWidth="1"/>
    <col min="27" max="27" width="13.44140625" bestFit="1" customWidth="1"/>
  </cols>
  <sheetData>
    <row r="1" spans="1:32" ht="38.4">
      <c r="A1" s="1" t="s">
        <v>0</v>
      </c>
      <c r="B1" s="3" t="s">
        <v>6</v>
      </c>
      <c r="C1" s="3" t="s">
        <v>7</v>
      </c>
      <c r="D1" s="3" t="s">
        <v>8</v>
      </c>
      <c r="E1" s="3" t="s">
        <v>18</v>
      </c>
      <c r="F1" s="10" t="s">
        <v>19</v>
      </c>
      <c r="G1" s="10" t="s">
        <v>20</v>
      </c>
      <c r="H1" s="10" t="s">
        <v>21</v>
      </c>
      <c r="I1" s="3" t="s">
        <v>4</v>
      </c>
      <c r="J1" s="3" t="s">
        <v>5</v>
      </c>
      <c r="K1" s="6" t="s">
        <v>1</v>
      </c>
      <c r="L1" s="6" t="s">
        <v>2</v>
      </c>
      <c r="M1" s="6" t="s">
        <v>3</v>
      </c>
      <c r="N1" s="7" t="s">
        <v>12</v>
      </c>
      <c r="O1" s="7" t="s">
        <v>13</v>
      </c>
      <c r="P1" s="7" t="s">
        <v>9</v>
      </c>
      <c r="Q1" s="16" t="s">
        <v>10</v>
      </c>
      <c r="R1" s="16" t="s">
        <v>11</v>
      </c>
      <c r="S1" s="7" t="s">
        <v>14</v>
      </c>
      <c r="T1" s="7" t="s">
        <v>16</v>
      </c>
      <c r="U1" s="7" t="s">
        <v>26</v>
      </c>
      <c r="V1" s="7"/>
      <c r="W1" s="7" t="s">
        <v>15</v>
      </c>
      <c r="X1" s="7" t="s">
        <v>17</v>
      </c>
      <c r="Y1" s="7" t="s">
        <v>27</v>
      </c>
      <c r="Z1" s="7"/>
      <c r="AA1" s="14" t="s">
        <v>22</v>
      </c>
      <c r="AB1" s="14" t="s">
        <v>23</v>
      </c>
      <c r="AC1" s="14" t="s">
        <v>28</v>
      </c>
      <c r="AD1" s="14" t="s">
        <v>24</v>
      </c>
      <c r="AE1" s="14" t="s">
        <v>25</v>
      </c>
      <c r="AF1" s="14" t="s">
        <v>29</v>
      </c>
    </row>
    <row r="2" spans="1:32">
      <c r="A2" s="2">
        <v>1990</v>
      </c>
      <c r="B2" s="4">
        <v>10774894</v>
      </c>
      <c r="C2" s="4">
        <v>1220746</v>
      </c>
      <c r="E2" s="5">
        <f>+SUM(B2:D2)</f>
        <v>11995640</v>
      </c>
      <c r="F2" s="11">
        <f>+(B2*100)/E2</f>
        <v>89.823419175633816</v>
      </c>
      <c r="G2" s="11">
        <f>+(C2*100)/E2</f>
        <v>10.176580824366185</v>
      </c>
      <c r="H2" s="11">
        <f>+(D2*100)/E2</f>
        <v>0</v>
      </c>
      <c r="I2" s="8"/>
      <c r="J2" s="8"/>
      <c r="K2" s="4">
        <v>842860</v>
      </c>
      <c r="L2" s="4">
        <v>1490068</v>
      </c>
      <c r="M2" s="19"/>
      <c r="S2" s="21"/>
      <c r="T2" s="21"/>
      <c r="U2" s="21"/>
      <c r="V2" s="21"/>
      <c r="W2" s="23"/>
      <c r="X2" s="23"/>
      <c r="Y2" s="23"/>
      <c r="Z2" s="23"/>
      <c r="AA2" s="9"/>
      <c r="AB2" s="9"/>
      <c r="AC2" s="9"/>
      <c r="AD2" s="9"/>
      <c r="AE2" s="9"/>
      <c r="AF2" s="9"/>
    </row>
    <row r="3" spans="1:32">
      <c r="A3" s="2">
        <v>1991</v>
      </c>
      <c r="B3" s="4">
        <v>11219624</v>
      </c>
      <c r="C3" s="4">
        <v>1317475</v>
      </c>
      <c r="E3" s="5">
        <f t="shared" ref="E3:E36" si="0">+SUM(B3:D3)</f>
        <v>12537099</v>
      </c>
      <c r="F3" s="11">
        <f t="shared" ref="F3:F36" si="1">+(B3*100)/E3</f>
        <v>89.491388717597275</v>
      </c>
      <c r="G3" s="11">
        <f t="shared" ref="G3:G36" si="2">+(C3*100)/E3</f>
        <v>10.508611282402731</v>
      </c>
      <c r="H3" s="11">
        <f t="shared" ref="H3:H36" si="3">+(D3*100)/E3</f>
        <v>0</v>
      </c>
      <c r="I3" s="8"/>
      <c r="J3" s="8"/>
      <c r="K3" s="4">
        <v>879324</v>
      </c>
      <c r="L3" s="4">
        <v>1615902</v>
      </c>
      <c r="M3" s="19"/>
      <c r="S3" s="21"/>
      <c r="T3" s="21"/>
      <c r="U3" s="21"/>
      <c r="V3" s="21"/>
      <c r="W3" s="23"/>
      <c r="X3" s="23"/>
      <c r="Y3" s="23"/>
      <c r="Z3" s="23"/>
      <c r="AA3" s="9"/>
      <c r="AB3" s="9"/>
      <c r="AC3" s="9"/>
      <c r="AD3" s="9"/>
      <c r="AE3" s="9"/>
      <c r="AF3" s="9"/>
    </row>
    <row r="4" spans="1:32">
      <c r="A4" s="2">
        <v>1992</v>
      </c>
      <c r="B4" s="4">
        <v>11640667</v>
      </c>
      <c r="C4" s="4">
        <v>1461618</v>
      </c>
      <c r="E4" s="5">
        <f t="shared" si="0"/>
        <v>13102285</v>
      </c>
      <c r="F4" s="11">
        <f t="shared" si="1"/>
        <v>88.844556502930601</v>
      </c>
      <c r="G4" s="11">
        <f t="shared" si="2"/>
        <v>11.155443497069404</v>
      </c>
      <c r="H4" s="11">
        <f t="shared" si="3"/>
        <v>0</v>
      </c>
      <c r="I4" s="8"/>
      <c r="J4" s="8"/>
      <c r="K4" s="4">
        <v>910925</v>
      </c>
      <c r="L4" s="4">
        <v>1738671</v>
      </c>
      <c r="M4" s="19"/>
      <c r="S4" s="21"/>
      <c r="T4" s="21"/>
      <c r="U4" s="21"/>
      <c r="V4" s="21"/>
      <c r="W4" s="23"/>
      <c r="X4" s="23"/>
      <c r="Y4" s="23"/>
      <c r="Z4" s="23"/>
      <c r="AA4" s="9"/>
      <c r="AB4" s="9"/>
      <c r="AC4" s="9"/>
      <c r="AD4" s="9"/>
      <c r="AE4" s="9"/>
      <c r="AF4" s="9"/>
    </row>
    <row r="5" spans="1:32">
      <c r="A5" s="2">
        <v>1993</v>
      </c>
      <c r="B5" s="4">
        <v>11838632</v>
      </c>
      <c r="C5" s="4">
        <v>1602062</v>
      </c>
      <c r="E5" s="5">
        <f t="shared" si="0"/>
        <v>13440694</v>
      </c>
      <c r="F5" s="11">
        <f t="shared" si="1"/>
        <v>88.080511318835178</v>
      </c>
      <c r="G5" s="11">
        <f t="shared" si="2"/>
        <v>11.919488681164827</v>
      </c>
      <c r="H5" s="11">
        <f t="shared" si="3"/>
        <v>0</v>
      </c>
      <c r="I5" s="8"/>
      <c r="J5" s="8"/>
      <c r="K5" s="4">
        <v>922143</v>
      </c>
      <c r="L5" s="4">
        <v>1813001</v>
      </c>
      <c r="M5" s="19"/>
      <c r="S5" s="21"/>
      <c r="T5" s="21"/>
      <c r="U5" s="21"/>
      <c r="V5" s="21"/>
      <c r="W5" s="23"/>
      <c r="X5" s="23"/>
      <c r="Y5" s="23"/>
      <c r="Z5" s="23"/>
      <c r="AA5" s="9"/>
      <c r="AB5" s="9"/>
      <c r="AC5" s="9"/>
      <c r="AD5" s="9"/>
      <c r="AE5" s="9"/>
      <c r="AF5" s="9"/>
    </row>
    <row r="6" spans="1:32">
      <c r="A6" s="2">
        <v>1994</v>
      </c>
      <c r="B6" s="4">
        <v>11927546</v>
      </c>
      <c r="C6" s="4">
        <v>1806248</v>
      </c>
      <c r="E6" s="5">
        <f t="shared" si="0"/>
        <v>13733794</v>
      </c>
      <c r="F6" s="11">
        <f t="shared" si="1"/>
        <v>86.848149899437843</v>
      </c>
      <c r="G6" s="11">
        <f t="shared" si="2"/>
        <v>13.151850100562161</v>
      </c>
      <c r="H6" s="11">
        <f t="shared" si="3"/>
        <v>0</v>
      </c>
      <c r="I6" s="8"/>
      <c r="J6" s="8"/>
      <c r="K6" s="4">
        <v>919518</v>
      </c>
      <c r="L6" s="4">
        <v>1906229</v>
      </c>
      <c r="M6" s="19"/>
      <c r="S6" s="21"/>
      <c r="T6" s="21"/>
      <c r="U6" s="21"/>
      <c r="V6" s="21"/>
      <c r="W6" s="23"/>
      <c r="X6" s="23"/>
      <c r="Y6" s="23"/>
      <c r="Z6" s="23"/>
      <c r="AA6" s="9"/>
      <c r="AB6" s="9"/>
      <c r="AC6" s="9"/>
      <c r="AD6" s="9"/>
      <c r="AE6" s="9"/>
      <c r="AF6" s="9"/>
    </row>
    <row r="7" spans="1:32">
      <c r="A7" s="2">
        <v>1995</v>
      </c>
      <c r="B7" s="4">
        <v>12153133</v>
      </c>
      <c r="C7" s="4">
        <v>2059126</v>
      </c>
      <c r="E7" s="5">
        <f t="shared" si="0"/>
        <v>14212259</v>
      </c>
      <c r="F7" s="11">
        <f t="shared" si="1"/>
        <v>85.511620636803755</v>
      </c>
      <c r="G7" s="11">
        <f t="shared" si="2"/>
        <v>14.488379363196238</v>
      </c>
      <c r="H7" s="11">
        <f t="shared" si="3"/>
        <v>0</v>
      </c>
      <c r="I7" s="8"/>
      <c r="J7" s="8"/>
      <c r="K7" s="4">
        <v>916576</v>
      </c>
      <c r="L7" s="4">
        <v>2020189</v>
      </c>
      <c r="M7" s="19"/>
      <c r="S7" s="21"/>
      <c r="T7" s="21"/>
      <c r="U7" s="21"/>
      <c r="V7" s="21"/>
      <c r="W7" s="23"/>
      <c r="X7" s="23"/>
      <c r="Y7" s="23"/>
      <c r="Z7" s="23"/>
      <c r="AA7" s="9"/>
      <c r="AB7" s="9"/>
      <c r="AC7" s="9"/>
      <c r="AD7" s="9"/>
      <c r="AE7" s="9"/>
      <c r="AF7" s="9"/>
    </row>
    <row r="8" spans="1:32">
      <c r="A8" s="2">
        <v>1996</v>
      </c>
      <c r="B8" s="4">
        <v>12362457</v>
      </c>
      <c r="C8" s="4">
        <v>2391352</v>
      </c>
      <c r="E8" s="5">
        <f t="shared" si="0"/>
        <v>14753809</v>
      </c>
      <c r="F8" s="11">
        <f t="shared" si="1"/>
        <v>83.791629673394851</v>
      </c>
      <c r="G8" s="11">
        <f t="shared" si="2"/>
        <v>16.208370326605149</v>
      </c>
      <c r="H8" s="11">
        <f t="shared" si="3"/>
        <v>0</v>
      </c>
      <c r="I8" s="8"/>
      <c r="J8" s="8"/>
      <c r="K8" s="4">
        <v>905921</v>
      </c>
      <c r="L8" s="4">
        <v>2151426</v>
      </c>
      <c r="M8" s="19"/>
      <c r="S8" s="21"/>
      <c r="T8" s="21"/>
      <c r="U8" s="21"/>
      <c r="V8" s="21"/>
      <c r="W8" s="23"/>
      <c r="X8" s="23"/>
      <c r="Y8" s="23"/>
      <c r="Z8" s="23"/>
      <c r="AA8" s="9"/>
      <c r="AB8" s="9"/>
      <c r="AC8" s="9"/>
      <c r="AD8" s="9"/>
      <c r="AE8" s="9"/>
      <c r="AF8" s="9"/>
    </row>
    <row r="9" spans="1:32">
      <c r="A9" s="2">
        <v>1997</v>
      </c>
      <c r="B9" s="4">
        <v>12490612</v>
      </c>
      <c r="C9" s="4">
        <v>2806754</v>
      </c>
      <c r="E9" s="5">
        <f t="shared" si="0"/>
        <v>15297366</v>
      </c>
      <c r="F9" s="11">
        <f t="shared" si="1"/>
        <v>81.65204388781703</v>
      </c>
      <c r="G9" s="11">
        <f t="shared" si="2"/>
        <v>18.347956112182974</v>
      </c>
      <c r="H9" s="11">
        <f t="shared" si="3"/>
        <v>0</v>
      </c>
      <c r="I9" s="8"/>
      <c r="J9" s="8"/>
      <c r="K9" s="4">
        <v>891059</v>
      </c>
      <c r="L9" s="4">
        <v>2314915</v>
      </c>
      <c r="M9" s="19"/>
      <c r="S9" s="21"/>
      <c r="T9" s="21"/>
      <c r="U9" s="21"/>
      <c r="V9" s="21"/>
      <c r="W9" s="23"/>
      <c r="X9" s="23"/>
      <c r="Y9" s="23"/>
      <c r="Z9" s="23"/>
      <c r="AA9" s="9"/>
      <c r="AB9" s="9"/>
      <c r="AC9" s="9"/>
      <c r="AD9" s="9"/>
      <c r="AE9" s="9"/>
      <c r="AF9" s="9"/>
    </row>
    <row r="10" spans="1:32">
      <c r="A10" s="2">
        <v>1998</v>
      </c>
      <c r="B10" s="4">
        <v>12681210</v>
      </c>
      <c r="C10" s="4">
        <v>3368847</v>
      </c>
      <c r="E10" s="5">
        <f t="shared" si="0"/>
        <v>16050057</v>
      </c>
      <c r="F10" s="11">
        <f t="shared" si="1"/>
        <v>79.010373608018966</v>
      </c>
      <c r="G10" s="11">
        <f t="shared" si="2"/>
        <v>20.989626391981037</v>
      </c>
      <c r="H10" s="11">
        <f t="shared" si="3"/>
        <v>0</v>
      </c>
      <c r="I10" s="8"/>
      <c r="J10" s="8"/>
      <c r="K10" s="4">
        <v>878138</v>
      </c>
      <c r="L10" s="4">
        <v>2515308</v>
      </c>
      <c r="M10" s="19"/>
      <c r="S10" s="21"/>
      <c r="T10" s="21"/>
      <c r="U10" s="21"/>
      <c r="V10" s="21"/>
      <c r="W10" s="23"/>
      <c r="X10" s="23"/>
      <c r="Y10" s="23"/>
      <c r="Z10" s="23"/>
      <c r="AA10" s="9"/>
      <c r="AB10" s="9"/>
      <c r="AC10" s="9"/>
      <c r="AD10" s="9"/>
      <c r="AE10" s="9"/>
      <c r="AF10" s="9"/>
    </row>
    <row r="11" spans="1:32">
      <c r="A11" s="2">
        <v>1999</v>
      </c>
      <c r="B11" s="4">
        <v>12802978</v>
      </c>
      <c r="C11" s="4">
        <v>4044419</v>
      </c>
      <c r="E11" s="5">
        <f t="shared" si="0"/>
        <v>16847397</v>
      </c>
      <c r="F11" s="11">
        <f t="shared" si="1"/>
        <v>75.99380485899394</v>
      </c>
      <c r="G11" s="11">
        <f t="shared" si="2"/>
        <v>24.006195141006057</v>
      </c>
      <c r="H11" s="11">
        <f t="shared" si="3"/>
        <v>0</v>
      </c>
      <c r="I11" s="8"/>
      <c r="J11" s="8"/>
      <c r="K11" s="4">
        <v>858454</v>
      </c>
      <c r="L11" s="4">
        <v>2746518</v>
      </c>
      <c r="M11" s="19"/>
      <c r="S11" s="21"/>
      <c r="T11" s="21"/>
      <c r="U11" s="21"/>
      <c r="V11" s="21"/>
      <c r="W11" s="23"/>
      <c r="X11" s="23"/>
      <c r="Y11" s="23"/>
      <c r="Z11" s="23"/>
      <c r="AA11" s="9"/>
      <c r="AB11" s="9"/>
      <c r="AC11" s="9"/>
      <c r="AD11" s="9"/>
      <c r="AE11" s="9"/>
      <c r="AF11" s="9"/>
    </row>
    <row r="12" spans="1:32">
      <c r="A12" s="2">
        <v>2000</v>
      </c>
      <c r="B12" s="4">
        <v>12746971</v>
      </c>
      <c r="C12" s="4">
        <v>4702264</v>
      </c>
      <c r="E12" s="5">
        <f t="shared" si="0"/>
        <v>17449235</v>
      </c>
      <c r="F12" s="11">
        <f t="shared" si="1"/>
        <v>73.051746967703735</v>
      </c>
      <c r="G12" s="11">
        <f t="shared" si="2"/>
        <v>26.948253032296257</v>
      </c>
      <c r="H12" s="11">
        <f t="shared" si="3"/>
        <v>0</v>
      </c>
      <c r="I12" s="8"/>
      <c r="J12" s="8"/>
      <c r="K12" s="4">
        <v>831384</v>
      </c>
      <c r="L12" s="4">
        <v>2948837</v>
      </c>
      <c r="M12" s="19"/>
      <c r="S12" s="21"/>
      <c r="T12" s="21"/>
      <c r="U12" s="21"/>
      <c r="V12" s="21"/>
      <c r="W12" s="23"/>
      <c r="X12" s="23"/>
      <c r="Y12" s="23"/>
      <c r="Z12" s="23"/>
      <c r="AA12" s="9"/>
      <c r="AB12" s="9"/>
      <c r="AC12" s="9"/>
      <c r="AD12" s="9"/>
      <c r="AE12" s="9"/>
      <c r="AF12" s="9"/>
    </row>
    <row r="13" spans="1:32">
      <c r="A13" s="2">
        <v>2001</v>
      </c>
      <c r="B13" s="4">
        <v>12795735</v>
      </c>
      <c r="C13" s="4">
        <v>5355145</v>
      </c>
      <c r="E13" s="5">
        <f t="shared" si="0"/>
        <v>18150880</v>
      </c>
      <c r="F13" s="11">
        <f t="shared" si="1"/>
        <v>70.496499343282537</v>
      </c>
      <c r="G13" s="11">
        <f t="shared" si="2"/>
        <v>29.50350065671747</v>
      </c>
      <c r="H13" s="11">
        <f t="shared" si="3"/>
        <v>0</v>
      </c>
      <c r="I13" s="8"/>
      <c r="J13" s="8"/>
      <c r="K13" s="4">
        <v>812421</v>
      </c>
      <c r="L13" s="4">
        <v>3136580</v>
      </c>
      <c r="M13" s="19"/>
      <c r="S13" s="21"/>
      <c r="T13" s="21"/>
      <c r="U13" s="21"/>
      <c r="V13" s="21"/>
      <c r="W13" s="23"/>
      <c r="X13" s="23"/>
      <c r="Y13" s="23"/>
      <c r="Z13" s="23"/>
      <c r="AA13" s="9"/>
      <c r="AB13" s="9"/>
      <c r="AC13" s="9"/>
      <c r="AD13" s="9"/>
      <c r="AE13" s="9"/>
      <c r="AF13" s="9"/>
    </row>
    <row r="14" spans="1:32">
      <c r="A14" s="2">
        <v>2002</v>
      </c>
      <c r="B14" s="4">
        <v>12728713</v>
      </c>
      <c r="C14" s="4">
        <v>6003919</v>
      </c>
      <c r="E14" s="5">
        <f t="shared" si="0"/>
        <v>18732632</v>
      </c>
      <c r="F14" s="11">
        <f t="shared" si="1"/>
        <v>67.949410419208576</v>
      </c>
      <c r="G14" s="11">
        <f t="shared" si="2"/>
        <v>32.050589580791424</v>
      </c>
      <c r="H14" s="11">
        <f t="shared" si="3"/>
        <v>0</v>
      </c>
      <c r="I14" s="4">
        <v>1517208</v>
      </c>
      <c r="J14" s="4">
        <v>2044242</v>
      </c>
      <c r="K14" s="4">
        <v>789143</v>
      </c>
      <c r="L14" s="4">
        <v>3302732</v>
      </c>
      <c r="M14" s="19"/>
      <c r="N14" s="5"/>
      <c r="S14" s="21"/>
      <c r="T14" s="21"/>
      <c r="U14" s="21"/>
      <c r="V14" s="21"/>
      <c r="W14" s="23"/>
      <c r="X14" s="23"/>
      <c r="Y14" s="23"/>
      <c r="Z14" s="23"/>
      <c r="AA14" s="9"/>
      <c r="AB14" s="9"/>
      <c r="AC14" s="9"/>
      <c r="AD14" s="9"/>
      <c r="AE14" s="9"/>
      <c r="AF14" s="9"/>
    </row>
    <row r="15" spans="1:32">
      <c r="A15" s="2">
        <v>2003</v>
      </c>
      <c r="B15" s="4">
        <v>12095876</v>
      </c>
      <c r="C15" s="4">
        <v>6592444</v>
      </c>
      <c r="E15" s="5">
        <f t="shared" si="0"/>
        <v>18688320</v>
      </c>
      <c r="F15" s="11">
        <f t="shared" si="1"/>
        <v>64.724255577815455</v>
      </c>
      <c r="G15" s="11">
        <f t="shared" si="2"/>
        <v>35.275744422184552</v>
      </c>
      <c r="H15" s="11">
        <f t="shared" si="3"/>
        <v>0</v>
      </c>
      <c r="I15" s="4">
        <v>1513526</v>
      </c>
      <c r="J15" s="4">
        <v>2143593</v>
      </c>
      <c r="K15" s="4">
        <v>749476</v>
      </c>
      <c r="L15" s="4">
        <v>3439434</v>
      </c>
      <c r="M15" s="19"/>
      <c r="O15" s="5"/>
      <c r="S15" s="21"/>
      <c r="T15" s="21"/>
      <c r="U15" s="21"/>
      <c r="V15" s="21"/>
      <c r="W15" s="23"/>
      <c r="X15" s="23"/>
      <c r="Y15" s="23"/>
      <c r="Z15" s="23"/>
      <c r="AA15" s="9"/>
      <c r="AB15" s="9"/>
      <c r="AC15" s="9"/>
      <c r="AD15" s="9"/>
      <c r="AE15" s="9"/>
      <c r="AF15" s="9"/>
    </row>
    <row r="16" spans="1:32">
      <c r="A16" s="2">
        <v>2004</v>
      </c>
      <c r="B16" s="4">
        <v>12035097</v>
      </c>
      <c r="C16" s="4">
        <v>7506821</v>
      </c>
      <c r="E16" s="5">
        <f t="shared" si="0"/>
        <v>19541918</v>
      </c>
      <c r="F16" s="11">
        <f t="shared" si="1"/>
        <v>61.586058236453553</v>
      </c>
      <c r="G16" s="11">
        <f t="shared" si="2"/>
        <v>38.413941763546447</v>
      </c>
      <c r="H16" s="11">
        <f t="shared" si="3"/>
        <v>0</v>
      </c>
      <c r="I16" s="4">
        <v>1612082</v>
      </c>
      <c r="J16" s="4">
        <v>2242046</v>
      </c>
      <c r="K16" s="4">
        <v>737024</v>
      </c>
      <c r="L16" s="4">
        <v>3681015</v>
      </c>
      <c r="M16" s="19"/>
      <c r="S16" s="21"/>
      <c r="T16" s="21"/>
      <c r="U16" s="21"/>
      <c r="V16" s="21"/>
      <c r="W16" s="23"/>
      <c r="X16" s="23"/>
      <c r="Y16" s="23"/>
      <c r="Z16" s="23"/>
      <c r="AA16" s="9"/>
      <c r="AB16" s="9"/>
      <c r="AC16" s="9"/>
      <c r="AD16" s="9"/>
      <c r="AE16" s="9"/>
      <c r="AF16" s="9"/>
    </row>
    <row r="17" spans="1:33">
      <c r="A17" s="2">
        <v>2005</v>
      </c>
      <c r="B17" s="4">
        <v>11815652</v>
      </c>
      <c r="C17" s="4">
        <v>8434725</v>
      </c>
      <c r="E17" s="5">
        <f t="shared" si="0"/>
        <v>20250377</v>
      </c>
      <c r="F17" s="11">
        <f t="shared" si="1"/>
        <v>58.347812487639118</v>
      </c>
      <c r="G17" s="11">
        <f t="shared" si="2"/>
        <v>41.652187512360882</v>
      </c>
      <c r="H17" s="11">
        <f t="shared" si="3"/>
        <v>0</v>
      </c>
      <c r="I17" s="4">
        <v>1805827</v>
      </c>
      <c r="J17" s="4">
        <v>2311773</v>
      </c>
      <c r="K17" s="4">
        <v>715460</v>
      </c>
      <c r="L17" s="4">
        <v>3939953</v>
      </c>
      <c r="M17" s="25"/>
      <c r="N17" s="4">
        <v>2364471</v>
      </c>
      <c r="O17" s="4">
        <v>2290942</v>
      </c>
      <c r="P17" s="5">
        <f>+N17+O17</f>
        <v>4655413</v>
      </c>
      <c r="Q17" s="17">
        <f>+(100*N17)/P17</f>
        <v>50.789715112278977</v>
      </c>
      <c r="R17" s="17">
        <f>+(O17*100)/P17</f>
        <v>49.210284887721023</v>
      </c>
      <c r="S17" s="22">
        <f>+K17*Q17/100</f>
        <v>363380.09574231115</v>
      </c>
      <c r="T17" s="22">
        <f>+L17*Q17/100</f>
        <v>2001090.9042576889</v>
      </c>
      <c r="U17" s="22">
        <f>+M17*Q17/100</f>
        <v>0</v>
      </c>
      <c r="V17" s="22">
        <f>+S17+T17+U17</f>
        <v>2364471</v>
      </c>
      <c r="W17" s="24">
        <f>+K17*R17/100</f>
        <v>352079.90425768885</v>
      </c>
      <c r="X17" s="24">
        <f>+L17*R17/100</f>
        <v>1938862.0957423111</v>
      </c>
      <c r="Y17" s="24">
        <f>+R17*M17/100</f>
        <v>0</v>
      </c>
      <c r="Z17" s="24">
        <f>+W17+X17+Y17</f>
        <v>2290942</v>
      </c>
      <c r="AA17" s="15">
        <f>+(S17*100)/V17</f>
        <v>15.36834648182664</v>
      </c>
      <c r="AB17" s="15">
        <f>+(T17*100)/V17</f>
        <v>84.631653518173366</v>
      </c>
      <c r="AC17" s="9">
        <f>100-(AA17+AB17)</f>
        <v>0</v>
      </c>
      <c r="AD17" s="11">
        <f>+(W17*100)/Z17</f>
        <v>15.368346481826638</v>
      </c>
      <c r="AE17" s="11">
        <f>+(100*X17)/Z17</f>
        <v>84.631653518173366</v>
      </c>
      <c r="AF17" s="11">
        <f>100-(AD17+AE17)</f>
        <v>0</v>
      </c>
      <c r="AG17" s="13"/>
    </row>
    <row r="18" spans="1:33">
      <c r="A18" s="2">
        <v>2006</v>
      </c>
      <c r="B18" s="4">
        <v>11667433</v>
      </c>
      <c r="C18" s="4">
        <v>9380284</v>
      </c>
      <c r="D18" s="4">
        <v>4842</v>
      </c>
      <c r="E18" s="5">
        <f t="shared" si="0"/>
        <v>21052559</v>
      </c>
      <c r="F18" s="11">
        <f t="shared" si="1"/>
        <v>55.420497812166211</v>
      </c>
      <c r="G18" s="11">
        <f t="shared" si="2"/>
        <v>44.556502608542743</v>
      </c>
      <c r="H18" s="11">
        <f t="shared" si="3"/>
        <v>2.2999579291049607E-2</v>
      </c>
      <c r="I18" s="4">
        <v>2058022</v>
      </c>
      <c r="J18" s="4">
        <v>2343124</v>
      </c>
      <c r="K18" s="4">
        <v>696698</v>
      </c>
      <c r="L18" s="4">
        <v>4213186</v>
      </c>
      <c r="M18" s="25">
        <v>17044</v>
      </c>
      <c r="N18" s="4">
        <v>2402937</v>
      </c>
      <c r="O18" s="4">
        <v>2507320</v>
      </c>
      <c r="P18" s="5">
        <f t="shared" ref="P18:P36" si="4">+N18+O18</f>
        <v>4910257</v>
      </c>
      <c r="Q18" s="17">
        <f>+(100*N18)/P18</f>
        <v>48.937092294761761</v>
      </c>
      <c r="R18" s="17">
        <f>+(O18*100)/P18</f>
        <v>51.062907705238239</v>
      </c>
      <c r="S18" s="22">
        <f>+K18*Q18/100</f>
        <v>340943.74327575928</v>
      </c>
      <c r="T18" s="22">
        <f>+L18*Q18/100</f>
        <v>2061810.7213699811</v>
      </c>
      <c r="U18" s="22">
        <f>+M18*Q18/100</f>
        <v>8340.8380107191952</v>
      </c>
      <c r="V18" s="22">
        <f t="shared" ref="V18:V36" si="5">+S18+T18+U18</f>
        <v>2411095.3026564596</v>
      </c>
      <c r="W18" s="24">
        <f>+K18*R18/100</f>
        <v>355754.25672424072</v>
      </c>
      <c r="X18" s="24">
        <f>+L18*R18/100</f>
        <v>2151375.2786300187</v>
      </c>
      <c r="Y18" s="24">
        <f>+R18*M18/100</f>
        <v>8703.1619892808048</v>
      </c>
      <c r="Z18" s="24">
        <f t="shared" ref="Z18:Z36" si="6">+W18+X18+Y18</f>
        <v>2515832.6973435404</v>
      </c>
      <c r="AA18" s="15">
        <f t="shared" ref="AA18:AA36" si="7">+(S18*100)/V18</f>
        <v>14.140616627643027</v>
      </c>
      <c r="AB18" s="15">
        <f t="shared" ref="AB18:AB36" si="8">+(T18*100)/V18</f>
        <v>85.513447730512809</v>
      </c>
      <c r="AC18" s="9">
        <f t="shared" ref="AC18:AC36" si="9">100-(AA18+AB18)</f>
        <v>0.34593564184416437</v>
      </c>
      <c r="AD18" s="11">
        <f t="shared" ref="AD18:AD36" si="10">+(W18*100)/Z18</f>
        <v>14.140616627643025</v>
      </c>
      <c r="AE18" s="11">
        <f t="shared" ref="AE18:AE36" si="11">+(100*X18)/Z18</f>
        <v>85.513447730512809</v>
      </c>
      <c r="AF18" s="11">
        <f t="shared" ref="AF18:AF36" si="12">100-(AD18+AE18)</f>
        <v>0.34593564184416437</v>
      </c>
      <c r="AG18" s="13"/>
    </row>
    <row r="19" spans="1:33">
      <c r="A19" s="2">
        <v>2007</v>
      </c>
      <c r="B19" s="4">
        <v>11500323</v>
      </c>
      <c r="C19" s="4">
        <v>10255430</v>
      </c>
      <c r="D19" s="4">
        <v>4421</v>
      </c>
      <c r="E19" s="5">
        <f t="shared" si="0"/>
        <v>21760174</v>
      </c>
      <c r="F19" s="11">
        <f t="shared" si="1"/>
        <v>52.850326472573244</v>
      </c>
      <c r="G19" s="11">
        <f t="shared" si="2"/>
        <v>47.129356594299288</v>
      </c>
      <c r="H19" s="11">
        <f t="shared" si="3"/>
        <v>2.0316933127464881E-2</v>
      </c>
      <c r="I19" s="4">
        <v>2311346</v>
      </c>
      <c r="J19" s="4">
        <v>2430414</v>
      </c>
      <c r="K19" s="4">
        <v>676058</v>
      </c>
      <c r="L19" s="4">
        <v>4463923</v>
      </c>
      <c r="M19" s="25">
        <v>15539</v>
      </c>
      <c r="N19" s="4">
        <v>2435706</v>
      </c>
      <c r="O19" s="4">
        <v>2704880</v>
      </c>
      <c r="P19" s="5">
        <f t="shared" si="4"/>
        <v>5140586</v>
      </c>
      <c r="Q19" s="17">
        <f>+(100*N19)/P19</f>
        <v>47.381874362183609</v>
      </c>
      <c r="R19" s="17">
        <f>+(O19*100)/P19</f>
        <v>52.618125637816391</v>
      </c>
      <c r="S19" s="22">
        <f>+K19*Q19/100</f>
        <v>320328.95217549126</v>
      </c>
      <c r="T19" s="22">
        <f>+L19*Q19/100</f>
        <v>2115090.3874846175</v>
      </c>
      <c r="U19" s="22">
        <f>+M19*Q19/100</f>
        <v>7362.669457139712</v>
      </c>
      <c r="V19" s="22">
        <f t="shared" si="5"/>
        <v>2442782.0091172489</v>
      </c>
      <c r="W19" s="24">
        <f>+K19*R19/100</f>
        <v>355729.04782450874</v>
      </c>
      <c r="X19" s="24">
        <f>+L19*R19/100</f>
        <v>2348832.6125153825</v>
      </c>
      <c r="Y19" s="24">
        <f>+R19*M19/100</f>
        <v>8176.330542860288</v>
      </c>
      <c r="Z19" s="24">
        <f t="shared" si="6"/>
        <v>2712737.9908827511</v>
      </c>
      <c r="AA19" s="15">
        <f t="shared" si="7"/>
        <v>13.113284401961391</v>
      </c>
      <c r="AB19" s="15">
        <f t="shared" si="8"/>
        <v>86.585310502141382</v>
      </c>
      <c r="AC19" s="9">
        <f t="shared" si="9"/>
        <v>0.30140509589722342</v>
      </c>
      <c r="AD19" s="11">
        <f t="shared" si="10"/>
        <v>13.113284401961396</v>
      </c>
      <c r="AE19" s="11">
        <f t="shared" si="11"/>
        <v>86.585310502141411</v>
      </c>
      <c r="AF19" s="11">
        <f t="shared" si="12"/>
        <v>0.301405095897195</v>
      </c>
      <c r="AG19" s="13"/>
    </row>
    <row r="20" spans="1:33">
      <c r="A20" s="2">
        <v>2008</v>
      </c>
      <c r="B20" s="4">
        <v>11344609</v>
      </c>
      <c r="C20" s="4">
        <v>10796625</v>
      </c>
      <c r="D20" s="4">
        <v>4130</v>
      </c>
      <c r="E20" s="5">
        <f t="shared" si="0"/>
        <v>22145364</v>
      </c>
      <c r="F20" s="11">
        <f t="shared" si="1"/>
        <v>51.227918403147491</v>
      </c>
      <c r="G20" s="11">
        <f t="shared" si="2"/>
        <v>48.753432095313492</v>
      </c>
      <c r="H20" s="11">
        <f t="shared" si="3"/>
        <v>1.8649501539012861E-2</v>
      </c>
      <c r="I20" s="4">
        <v>2500819</v>
      </c>
      <c r="J20" s="4">
        <v>2410685</v>
      </c>
      <c r="K20" s="4">
        <v>653143</v>
      </c>
      <c r="L20" s="4">
        <v>4538399</v>
      </c>
      <c r="M20" s="25">
        <v>16634</v>
      </c>
      <c r="N20" s="4">
        <v>2421911</v>
      </c>
      <c r="O20" s="4">
        <v>2770308</v>
      </c>
      <c r="P20" s="5">
        <f t="shared" si="4"/>
        <v>5192219</v>
      </c>
      <c r="Q20" s="17">
        <f>+(100*N20)/P20</f>
        <v>46.645008617702757</v>
      </c>
      <c r="R20" s="17">
        <f>+(O20*100)/P20</f>
        <v>53.354991382297243</v>
      </c>
      <c r="S20" s="22">
        <f>+K20*Q20/100</f>
        <v>304658.60863592231</v>
      </c>
      <c r="T20" s="22">
        <f>+L20*Q20/100</f>
        <v>2116936.6046557357</v>
      </c>
      <c r="U20" s="22">
        <f>+M20*Q20/100</f>
        <v>7758.9307334686773</v>
      </c>
      <c r="V20" s="22">
        <f t="shared" si="5"/>
        <v>2429354.1440251269</v>
      </c>
      <c r="W20" s="24">
        <f>+K20*R20/100</f>
        <v>348484.39136407769</v>
      </c>
      <c r="X20" s="24">
        <f>+L20*R20/100</f>
        <v>2421462.3953442643</v>
      </c>
      <c r="Y20" s="24">
        <f>+R20*M20/100</f>
        <v>8875.0692665313236</v>
      </c>
      <c r="Z20" s="24">
        <f t="shared" si="6"/>
        <v>2778821.8559748731</v>
      </c>
      <c r="AA20" s="15">
        <f t="shared" si="7"/>
        <v>12.540724430203586</v>
      </c>
      <c r="AB20" s="15">
        <f t="shared" si="8"/>
        <v>87.139893121891419</v>
      </c>
      <c r="AC20" s="9">
        <f t="shared" si="9"/>
        <v>0.31938244790499937</v>
      </c>
      <c r="AD20" s="11">
        <f t="shared" si="10"/>
        <v>12.540724430203589</v>
      </c>
      <c r="AE20" s="11">
        <f t="shared" si="11"/>
        <v>87.139893121891433</v>
      </c>
      <c r="AF20" s="11">
        <f t="shared" si="12"/>
        <v>0.31938244790498516</v>
      </c>
      <c r="AG20" s="13"/>
    </row>
    <row r="21" spans="1:33">
      <c r="A21" s="2">
        <v>2009</v>
      </c>
      <c r="B21" s="4">
        <v>10900655</v>
      </c>
      <c r="C21" s="4">
        <v>11079034</v>
      </c>
      <c r="D21" s="4">
        <v>3796</v>
      </c>
      <c r="E21" s="5">
        <f t="shared" si="0"/>
        <v>21983485</v>
      </c>
      <c r="F21" s="11">
        <f t="shared" si="1"/>
        <v>49.585654867733666</v>
      </c>
      <c r="G21" s="11">
        <f t="shared" si="2"/>
        <v>50.397077624407594</v>
      </c>
      <c r="H21" s="11">
        <f t="shared" si="3"/>
        <v>1.7267507858740323E-2</v>
      </c>
      <c r="I21" s="4">
        <v>2606674</v>
      </c>
      <c r="J21" s="4">
        <v>2352205</v>
      </c>
      <c r="K21" s="4">
        <v>625434</v>
      </c>
      <c r="L21" s="4">
        <v>4509541</v>
      </c>
      <c r="M21" s="25">
        <v>25373</v>
      </c>
      <c r="N21" s="4">
        <v>2364279</v>
      </c>
      <c r="O21" s="4">
        <v>2771935</v>
      </c>
      <c r="P21" s="5">
        <f t="shared" si="4"/>
        <v>5136214</v>
      </c>
      <c r="Q21" s="17">
        <f>+(100*N21)/P21</f>
        <v>46.031551644849692</v>
      </c>
      <c r="R21" s="17">
        <f>+(O21*100)/P21</f>
        <v>53.968448355150308</v>
      </c>
      <c r="S21" s="22">
        <f>+K21*Q21/100</f>
        <v>287896.97471444926</v>
      </c>
      <c r="T21" s="22">
        <f>+L21*Q21/100</f>
        <v>2075811.6943606713</v>
      </c>
      <c r="U21" s="22">
        <f>+M21*Q21/100</f>
        <v>11679.585598847712</v>
      </c>
      <c r="V21" s="22">
        <f t="shared" si="5"/>
        <v>2375388.2546739685</v>
      </c>
      <c r="W21" s="24">
        <f>+K21*R21/100</f>
        <v>337537.0252855508</v>
      </c>
      <c r="X21" s="24">
        <f>+L21*R21/100</f>
        <v>2433729.3056393284</v>
      </c>
      <c r="Y21" s="24">
        <f>+R21*M21/100</f>
        <v>13693.414401152288</v>
      </c>
      <c r="Z21" s="24">
        <f t="shared" si="6"/>
        <v>2784959.7453260315</v>
      </c>
      <c r="AA21" s="15">
        <f t="shared" si="7"/>
        <v>12.119996558371644</v>
      </c>
      <c r="AB21" s="15">
        <f t="shared" si="8"/>
        <v>87.388311796026144</v>
      </c>
      <c r="AC21" s="9">
        <f t="shared" si="9"/>
        <v>0.49169164560221645</v>
      </c>
      <c r="AD21" s="11">
        <f t="shared" si="10"/>
        <v>12.119996558371648</v>
      </c>
      <c r="AE21" s="11">
        <f t="shared" si="11"/>
        <v>87.388311796026159</v>
      </c>
      <c r="AF21" s="11">
        <f t="shared" si="12"/>
        <v>0.49169164560218803</v>
      </c>
      <c r="AG21" s="13"/>
    </row>
    <row r="22" spans="1:33">
      <c r="A22" s="2">
        <v>2010</v>
      </c>
      <c r="B22" s="4">
        <v>10677003</v>
      </c>
      <c r="C22" s="4">
        <v>11466842</v>
      </c>
      <c r="D22" s="4">
        <v>3610</v>
      </c>
      <c r="E22" s="5">
        <f t="shared" si="0"/>
        <v>22147455</v>
      </c>
      <c r="F22" s="11">
        <f t="shared" si="1"/>
        <v>48.208712919836614</v>
      </c>
      <c r="G22" s="11">
        <f t="shared" si="2"/>
        <v>51.774987238940092</v>
      </c>
      <c r="H22" s="11">
        <f t="shared" si="3"/>
        <v>1.6299841223291797E-2</v>
      </c>
      <c r="I22" s="4">
        <v>2707482</v>
      </c>
      <c r="J22" s="4">
        <v>2290207</v>
      </c>
      <c r="K22" s="4">
        <v>602843</v>
      </c>
      <c r="L22" s="4">
        <v>4499419</v>
      </c>
      <c r="M22" s="25">
        <v>27154</v>
      </c>
      <c r="N22" s="4">
        <v>2333083</v>
      </c>
      <c r="O22" s="4">
        <v>2770897</v>
      </c>
      <c r="P22" s="5">
        <f t="shared" si="4"/>
        <v>5103980</v>
      </c>
      <c r="Q22" s="17">
        <f>+(100*N22)/P22</f>
        <v>45.711052942997426</v>
      </c>
      <c r="R22" s="17">
        <f>+(O22*100)/P22</f>
        <v>54.288947057002574</v>
      </c>
      <c r="S22" s="22">
        <f>+K22*Q22/100</f>
        <v>275565.88289315399</v>
      </c>
      <c r="T22" s="22">
        <f>+L22*Q22/100</f>
        <v>2056731.8012172855</v>
      </c>
      <c r="U22" s="22">
        <f>+M22*Q22/100</f>
        <v>12412.379316141521</v>
      </c>
      <c r="V22" s="22">
        <f t="shared" si="5"/>
        <v>2344710.0634265807</v>
      </c>
      <c r="W22" s="24">
        <f>+K22*R22/100</f>
        <v>327277.11710684601</v>
      </c>
      <c r="X22" s="24">
        <f>+L22*R22/100</f>
        <v>2442687.1987827145</v>
      </c>
      <c r="Y22" s="24">
        <f>+R22*M22/100</f>
        <v>14741.620683858479</v>
      </c>
      <c r="Z22" s="24">
        <f t="shared" si="6"/>
        <v>2784705.9365734193</v>
      </c>
      <c r="AA22" s="15">
        <f t="shared" si="7"/>
        <v>11.752663461103566</v>
      </c>
      <c r="AB22" s="15">
        <f t="shared" si="8"/>
        <v>87.717958535630572</v>
      </c>
      <c r="AC22" s="9">
        <f t="shared" si="9"/>
        <v>0.52937800326586171</v>
      </c>
      <c r="AD22" s="11">
        <f t="shared" si="10"/>
        <v>11.752663461103563</v>
      </c>
      <c r="AE22" s="11">
        <f t="shared" si="11"/>
        <v>87.717958535630558</v>
      </c>
      <c r="AF22" s="11">
        <f t="shared" si="12"/>
        <v>0.52937800326587592</v>
      </c>
      <c r="AG22" s="13"/>
    </row>
    <row r="23" spans="1:33">
      <c r="A23" s="2">
        <v>2011</v>
      </c>
      <c r="B23" s="4">
        <v>10510112</v>
      </c>
      <c r="C23" s="4">
        <v>11763255</v>
      </c>
      <c r="D23" s="4">
        <v>3877</v>
      </c>
      <c r="E23" s="5">
        <f t="shared" si="0"/>
        <v>22277244</v>
      </c>
      <c r="F23" s="11">
        <f t="shared" si="1"/>
        <v>47.178690505881249</v>
      </c>
      <c r="G23" s="11">
        <f t="shared" si="2"/>
        <v>52.80390608461262</v>
      </c>
      <c r="H23" s="11">
        <f t="shared" si="3"/>
        <v>1.740340950613101E-2</v>
      </c>
      <c r="I23" s="4">
        <v>2798043</v>
      </c>
      <c r="J23" s="4">
        <v>2229418</v>
      </c>
      <c r="K23" s="4">
        <v>582725</v>
      </c>
      <c r="L23" s="4">
        <v>4476049</v>
      </c>
      <c r="M23" s="25">
        <v>28888</v>
      </c>
      <c r="N23" s="4">
        <v>2314595</v>
      </c>
      <c r="O23" s="4">
        <v>2752196</v>
      </c>
      <c r="P23" s="5">
        <f t="shared" si="4"/>
        <v>5066791</v>
      </c>
      <c r="Q23" s="17">
        <f>+(100*N23)/P23</f>
        <v>45.681675048368881</v>
      </c>
      <c r="R23" s="17">
        <f>+(O23*100)/P23</f>
        <v>54.318324951631119</v>
      </c>
      <c r="S23" s="22">
        <f>+K23*Q23/100</f>
        <v>266198.54092560755</v>
      </c>
      <c r="T23" s="22">
        <f>+L23*Q23/100</f>
        <v>2044734.1591857648</v>
      </c>
      <c r="U23" s="22">
        <f>+M23*Q23/100</f>
        <v>13196.522287972803</v>
      </c>
      <c r="V23" s="22">
        <f t="shared" si="5"/>
        <v>2324129.2223993451</v>
      </c>
      <c r="W23" s="24">
        <f>+K23*R23/100</f>
        <v>316526.45907439245</v>
      </c>
      <c r="X23" s="24">
        <f>+L23*R23/100</f>
        <v>2431314.8408142352</v>
      </c>
      <c r="Y23" s="24">
        <f>+R23*M23/100</f>
        <v>15691.477712027197</v>
      </c>
      <c r="Z23" s="24">
        <f t="shared" si="6"/>
        <v>2763532.7776006549</v>
      </c>
      <c r="AA23" s="15">
        <f t="shared" si="7"/>
        <v>11.453689337066809</v>
      </c>
      <c r="AB23" s="15">
        <f t="shared" si="8"/>
        <v>87.978505647584299</v>
      </c>
      <c r="AC23" s="9">
        <f t="shared" si="9"/>
        <v>0.56780501534889538</v>
      </c>
      <c r="AD23" s="11">
        <f t="shared" si="10"/>
        <v>11.453689337066811</v>
      </c>
      <c r="AE23" s="11">
        <f t="shared" si="11"/>
        <v>87.978505647584299</v>
      </c>
      <c r="AF23" s="11">
        <f t="shared" si="12"/>
        <v>0.56780501534889538</v>
      </c>
      <c r="AG23" s="13"/>
    </row>
    <row r="24" spans="1:33">
      <c r="A24" s="2">
        <v>2012</v>
      </c>
      <c r="B24" s="4">
        <v>10305113</v>
      </c>
      <c r="C24" s="4">
        <v>11937569</v>
      </c>
      <c r="D24" s="4">
        <v>4846</v>
      </c>
      <c r="E24" s="5">
        <f t="shared" si="0"/>
        <v>22247528</v>
      </c>
      <c r="F24" s="11">
        <f t="shared" si="1"/>
        <v>46.320260839766107</v>
      </c>
      <c r="G24" s="11">
        <f t="shared" si="2"/>
        <v>53.657956964926619</v>
      </c>
      <c r="H24" s="11">
        <f t="shared" si="3"/>
        <v>2.1782195307271893E-2</v>
      </c>
      <c r="I24" s="4">
        <v>2852297</v>
      </c>
      <c r="J24" s="4">
        <v>2169668</v>
      </c>
      <c r="K24" s="4">
        <v>568587</v>
      </c>
      <c r="L24" s="4">
        <v>4413826</v>
      </c>
      <c r="M24" s="25">
        <v>33816</v>
      </c>
      <c r="N24" s="4">
        <v>2287818</v>
      </c>
      <c r="O24" s="4">
        <v>2696904</v>
      </c>
      <c r="P24" s="5">
        <f t="shared" si="4"/>
        <v>4984722</v>
      </c>
      <c r="Q24" s="17">
        <f>+(100*N24)/P24</f>
        <v>45.896601656020138</v>
      </c>
      <c r="R24" s="17">
        <f>+(O24*100)/P24</f>
        <v>54.103398343979862</v>
      </c>
      <c r="S24" s="22">
        <f>+K24*Q24/100</f>
        <v>260962.11045791523</v>
      </c>
      <c r="T24" s="22">
        <f>+L24*Q24/100</f>
        <v>2025796.1370098474</v>
      </c>
      <c r="U24" s="22">
        <f>+M24*Q24/100</f>
        <v>15520.394815999771</v>
      </c>
      <c r="V24" s="22">
        <f t="shared" si="5"/>
        <v>2302278.6422837623</v>
      </c>
      <c r="W24" s="24">
        <f>+K24*R24/100</f>
        <v>307624.88954208477</v>
      </c>
      <c r="X24" s="24">
        <f>+L24*R24/100</f>
        <v>2388029.8629901526</v>
      </c>
      <c r="Y24" s="24">
        <f>+R24*M24/100</f>
        <v>18295.605184000229</v>
      </c>
      <c r="Z24" s="24">
        <f t="shared" si="6"/>
        <v>2713950.3577162377</v>
      </c>
      <c r="AA24" s="15">
        <f t="shared" si="7"/>
        <v>11.33494902246289</v>
      </c>
      <c r="AB24" s="15">
        <f t="shared" si="8"/>
        <v>87.990919074866795</v>
      </c>
      <c r="AC24" s="9">
        <f t="shared" si="9"/>
        <v>0.67413190267031098</v>
      </c>
      <c r="AD24" s="11">
        <f t="shared" si="10"/>
        <v>11.33494902246289</v>
      </c>
      <c r="AE24" s="11">
        <f t="shared" si="11"/>
        <v>87.990919074866795</v>
      </c>
      <c r="AF24" s="11">
        <f t="shared" si="12"/>
        <v>0.67413190267031098</v>
      </c>
      <c r="AG24" s="13"/>
    </row>
    <row r="25" spans="1:33">
      <c r="A25" s="2">
        <v>2013</v>
      </c>
      <c r="B25" s="4">
        <v>9956308</v>
      </c>
      <c r="C25" s="4">
        <v>12061601</v>
      </c>
      <c r="D25" s="4">
        <v>6629</v>
      </c>
      <c r="E25" s="5">
        <f t="shared" si="0"/>
        <v>22024538</v>
      </c>
      <c r="F25" s="11">
        <f t="shared" si="1"/>
        <v>45.205524855958387</v>
      </c>
      <c r="G25" s="11">
        <f t="shared" si="2"/>
        <v>54.76437689635079</v>
      </c>
      <c r="H25" s="11">
        <f t="shared" si="3"/>
        <v>3.0098247690825568E-2</v>
      </c>
      <c r="I25" s="4">
        <v>2891204</v>
      </c>
      <c r="J25" s="4">
        <v>2107116</v>
      </c>
      <c r="K25" s="4">
        <v>541751</v>
      </c>
      <c r="L25" s="4">
        <v>4342980</v>
      </c>
      <c r="M25" s="25">
        <v>38456</v>
      </c>
      <c r="N25" s="4">
        <v>2244116</v>
      </c>
      <c r="O25" s="4">
        <v>2643236</v>
      </c>
      <c r="P25" s="5">
        <f t="shared" si="4"/>
        <v>4887352</v>
      </c>
      <c r="Q25" s="17">
        <f>+(100*N25)/P25</f>
        <v>45.916807301786328</v>
      </c>
      <c r="R25" s="17">
        <f>+(O25*100)/P25</f>
        <v>54.083192698213672</v>
      </c>
      <c r="S25" s="22">
        <f>+K25*Q25/100</f>
        <v>248754.76272550048</v>
      </c>
      <c r="T25" s="22">
        <f>+L25*Q25/100</f>
        <v>1994157.7577551198</v>
      </c>
      <c r="U25" s="22">
        <f>+M25*Q25/100</f>
        <v>17657.767415974951</v>
      </c>
      <c r="V25" s="22">
        <f t="shared" si="5"/>
        <v>2260570.287896595</v>
      </c>
      <c r="W25" s="24">
        <f>+K25*R25/100</f>
        <v>292996.23727449955</v>
      </c>
      <c r="X25" s="24">
        <f>+L25*R25/100</f>
        <v>2348822.2422448802</v>
      </c>
      <c r="Y25" s="24">
        <f>+R25*M25/100</f>
        <v>20798.232584025049</v>
      </c>
      <c r="Z25" s="24">
        <f t="shared" si="6"/>
        <v>2662616.712103405</v>
      </c>
      <c r="AA25" s="15">
        <f t="shared" si="7"/>
        <v>11.004071143346781</v>
      </c>
      <c r="AB25" s="15">
        <f t="shared" si="8"/>
        <v>88.214808822009005</v>
      </c>
      <c r="AC25" s="9">
        <f t="shared" si="9"/>
        <v>0.78112003464421775</v>
      </c>
      <c r="AD25" s="11">
        <f t="shared" si="10"/>
        <v>11.004071143346778</v>
      </c>
      <c r="AE25" s="11">
        <f t="shared" si="11"/>
        <v>88.21480882200899</v>
      </c>
      <c r="AF25" s="11">
        <f t="shared" si="12"/>
        <v>0.78112003464423196</v>
      </c>
      <c r="AG25" s="13"/>
    </row>
    <row r="26" spans="1:33">
      <c r="A26" s="2">
        <v>2014</v>
      </c>
      <c r="B26" s="4">
        <v>9695703</v>
      </c>
      <c r="C26" s="4">
        <v>12325894</v>
      </c>
      <c r="D26" s="4">
        <v>7915</v>
      </c>
      <c r="E26" s="5">
        <f t="shared" si="0"/>
        <v>22029512</v>
      </c>
      <c r="F26" s="11">
        <f t="shared" si="1"/>
        <v>44.012336723573362</v>
      </c>
      <c r="G26" s="11">
        <f t="shared" si="2"/>
        <v>55.951734200921017</v>
      </c>
      <c r="H26" s="11">
        <f t="shared" si="3"/>
        <v>3.592907550562173E-2</v>
      </c>
      <c r="I26" s="4">
        <v>2972165</v>
      </c>
      <c r="J26" s="4">
        <v>2061044</v>
      </c>
      <c r="K26" s="4">
        <v>515215</v>
      </c>
      <c r="L26" s="4">
        <v>4321086</v>
      </c>
      <c r="M26" s="25">
        <v>44929</v>
      </c>
      <c r="N26" s="4">
        <v>2230376</v>
      </c>
      <c r="O26" s="4">
        <v>2609108</v>
      </c>
      <c r="P26" s="5">
        <f t="shared" si="4"/>
        <v>4839484</v>
      </c>
      <c r="Q26" s="17">
        <f>+(100*N26)/P26</f>
        <v>46.087062174397104</v>
      </c>
      <c r="R26" s="17">
        <f>+(O26*100)/P26</f>
        <v>53.912937825602896</v>
      </c>
      <c r="S26" s="22">
        <f>+K26*Q26/100</f>
        <v>237447.45738182004</v>
      </c>
      <c r="T26" s="22">
        <f>+L26*Q26/100</f>
        <v>1991461.5914291688</v>
      </c>
      <c r="U26" s="22">
        <f>+M26*Q26/100</f>
        <v>20706.456164334875</v>
      </c>
      <c r="V26" s="22">
        <f t="shared" si="5"/>
        <v>2249615.5049753236</v>
      </c>
      <c r="W26" s="24">
        <f>+K26*R26/100</f>
        <v>277767.54261817993</v>
      </c>
      <c r="X26" s="24">
        <f>+L26*R26/100</f>
        <v>2329624.4085708312</v>
      </c>
      <c r="Y26" s="24">
        <f>+R26*M26/100</f>
        <v>24222.543835665128</v>
      </c>
      <c r="Z26" s="24">
        <f t="shared" si="6"/>
        <v>2631614.4950246764</v>
      </c>
      <c r="AA26" s="15">
        <f t="shared" si="7"/>
        <v>10.555024041071617</v>
      </c>
      <c r="AB26" s="15">
        <f t="shared" si="8"/>
        <v>88.524531726634478</v>
      </c>
      <c r="AC26" s="9">
        <f t="shared" si="9"/>
        <v>0.92044423229390304</v>
      </c>
      <c r="AD26" s="11">
        <f t="shared" si="10"/>
        <v>10.555024041071613</v>
      </c>
      <c r="AE26" s="11">
        <f t="shared" si="11"/>
        <v>88.524531726634464</v>
      </c>
      <c r="AF26" s="11">
        <f t="shared" si="12"/>
        <v>0.92044423229391725</v>
      </c>
      <c r="AG26" s="13"/>
    </row>
    <row r="27" spans="1:33">
      <c r="A27" s="2">
        <v>2015</v>
      </c>
      <c r="B27" s="4">
        <v>9677594</v>
      </c>
      <c r="C27" s="4">
        <v>12665275</v>
      </c>
      <c r="D27" s="4">
        <v>12680</v>
      </c>
      <c r="E27" s="5">
        <f t="shared" si="0"/>
        <v>22355549</v>
      </c>
      <c r="F27" s="11">
        <f t="shared" si="1"/>
        <v>43.289449075931884</v>
      </c>
      <c r="G27" s="11">
        <f t="shared" si="2"/>
        <v>56.65383122552705</v>
      </c>
      <c r="H27" s="11">
        <f t="shared" si="3"/>
        <v>5.6719698541064678E-2</v>
      </c>
      <c r="I27" s="4">
        <v>3079463</v>
      </c>
      <c r="J27" s="4">
        <v>2023211</v>
      </c>
      <c r="K27" s="4">
        <v>503728</v>
      </c>
      <c r="L27" s="4">
        <v>4343585</v>
      </c>
      <c r="M27" s="25">
        <v>44769</v>
      </c>
      <c r="N27" s="4">
        <v>2260371</v>
      </c>
      <c r="O27" s="4">
        <v>2591147</v>
      </c>
      <c r="P27" s="5">
        <f t="shared" si="4"/>
        <v>4851518</v>
      </c>
      <c r="Q27" s="17">
        <f>+(100*N27)/P27</f>
        <v>46.591005124581628</v>
      </c>
      <c r="R27" s="17">
        <f>+(O27*100)/P27</f>
        <v>53.408994875418372</v>
      </c>
      <c r="S27" s="22">
        <f>+K27*Q27/100</f>
        <v>234691.93829395252</v>
      </c>
      <c r="T27" s="22">
        <f>+L27*Q27/100</f>
        <v>2023719.909940559</v>
      </c>
      <c r="U27" s="22">
        <f>+M27*Q27/100</f>
        <v>20858.327084223951</v>
      </c>
      <c r="V27" s="22">
        <f t="shared" si="5"/>
        <v>2279270.1753187352</v>
      </c>
      <c r="W27" s="24">
        <f>+K27*R27/100</f>
        <v>269036.06170604745</v>
      </c>
      <c r="X27" s="24">
        <f>+L27*R27/100</f>
        <v>2319865.090059441</v>
      </c>
      <c r="Y27" s="24">
        <f>+R27*M27/100</f>
        <v>23910.672915776049</v>
      </c>
      <c r="Z27" s="24">
        <f t="shared" si="6"/>
        <v>2612811.8246812648</v>
      </c>
      <c r="AA27" s="15">
        <f t="shared" si="7"/>
        <v>10.296802056874762</v>
      </c>
      <c r="AB27" s="15">
        <f t="shared" si="8"/>
        <v>88.788066103552651</v>
      </c>
      <c r="AC27" s="9">
        <f t="shared" si="9"/>
        <v>0.91513183957258093</v>
      </c>
      <c r="AD27" s="11">
        <f t="shared" si="10"/>
        <v>10.29680205687476</v>
      </c>
      <c r="AE27" s="11">
        <f t="shared" si="11"/>
        <v>88.788066103552623</v>
      </c>
      <c r="AF27" s="11">
        <f t="shared" si="12"/>
        <v>0.91513183957260935</v>
      </c>
      <c r="AG27" s="13"/>
    </row>
    <row r="28" spans="1:33">
      <c r="A28" s="2">
        <v>2016</v>
      </c>
      <c r="B28" s="4">
        <v>9820553</v>
      </c>
      <c r="C28" s="4">
        <v>13038663</v>
      </c>
      <c r="D28" s="4">
        <v>17614</v>
      </c>
      <c r="E28" s="5">
        <f t="shared" si="0"/>
        <v>22876830</v>
      </c>
      <c r="F28" s="11">
        <f t="shared" si="1"/>
        <v>42.927944999372727</v>
      </c>
      <c r="G28" s="11">
        <f t="shared" si="2"/>
        <v>56.99506006732576</v>
      </c>
      <c r="H28" s="11">
        <f t="shared" si="3"/>
        <v>7.6994933301510748E-2</v>
      </c>
      <c r="I28" s="4">
        <v>3211474</v>
      </c>
      <c r="J28" s="4">
        <v>1987470</v>
      </c>
      <c r="K28" s="4">
        <v>495458</v>
      </c>
      <c r="L28" s="4">
        <v>4378199</v>
      </c>
      <c r="M28" s="25">
        <v>52950</v>
      </c>
      <c r="N28" s="4">
        <v>2305271</v>
      </c>
      <c r="O28" s="4">
        <v>2574209</v>
      </c>
      <c r="P28" s="5">
        <f t="shared" si="4"/>
        <v>4879480</v>
      </c>
      <c r="Q28" s="17">
        <f>+(100*N28)/P28</f>
        <v>47.24419405346471</v>
      </c>
      <c r="R28" s="17">
        <f>+(O28*100)/P28</f>
        <v>52.75580594653529</v>
      </c>
      <c r="S28" s="22">
        <f>+K28*Q28/100</f>
        <v>234075.13897341519</v>
      </c>
      <c r="T28" s="22">
        <f>+L28*Q28/100</f>
        <v>2068444.8316068514</v>
      </c>
      <c r="U28" s="22">
        <f>+M28*Q28/100</f>
        <v>25015.800751309562</v>
      </c>
      <c r="V28" s="22">
        <f t="shared" si="5"/>
        <v>2327535.7713315762</v>
      </c>
      <c r="W28" s="24">
        <f>+K28*R28/100</f>
        <v>261382.86102658481</v>
      </c>
      <c r="X28" s="24">
        <f>+L28*R28/100</f>
        <v>2309754.1683931486</v>
      </c>
      <c r="Y28" s="24">
        <f>+R28*M28/100</f>
        <v>27934.199248690438</v>
      </c>
      <c r="Z28" s="24">
        <f t="shared" si="6"/>
        <v>2599071.2286684238</v>
      </c>
      <c r="AA28" s="15">
        <f t="shared" si="7"/>
        <v>10.056779442728027</v>
      </c>
      <c r="AB28" s="15">
        <f t="shared" si="8"/>
        <v>88.868444347194739</v>
      </c>
      <c r="AC28" s="9">
        <f t="shared" si="9"/>
        <v>1.074776210077232</v>
      </c>
      <c r="AD28" s="11">
        <f t="shared" si="10"/>
        <v>10.056779442728027</v>
      </c>
      <c r="AE28" s="11">
        <f t="shared" si="11"/>
        <v>88.868444347194725</v>
      </c>
      <c r="AF28" s="11">
        <f t="shared" si="12"/>
        <v>1.0747762100772462</v>
      </c>
      <c r="AG28" s="13"/>
    </row>
    <row r="29" spans="1:33">
      <c r="A29" s="2">
        <v>2017</v>
      </c>
      <c r="B29" s="4">
        <v>10102654</v>
      </c>
      <c r="C29" s="4">
        <v>13367879</v>
      </c>
      <c r="D29" s="4">
        <v>29868</v>
      </c>
      <c r="E29" s="5">
        <f t="shared" si="0"/>
        <v>23500401</v>
      </c>
      <c r="F29" s="11">
        <f t="shared" si="1"/>
        <v>42.989283459460971</v>
      </c>
      <c r="G29" s="11">
        <f t="shared" si="2"/>
        <v>56.883620836938057</v>
      </c>
      <c r="H29" s="11">
        <f t="shared" si="3"/>
        <v>0.12709570360097261</v>
      </c>
      <c r="I29" s="4">
        <v>3327048</v>
      </c>
      <c r="J29" s="4">
        <v>1961523</v>
      </c>
      <c r="K29" s="4">
        <v>489708</v>
      </c>
      <c r="L29" s="4">
        <v>4426541</v>
      </c>
      <c r="M29" s="25">
        <v>71433</v>
      </c>
      <c r="N29" s="4">
        <v>2338033</v>
      </c>
      <c r="O29" s="4">
        <v>2586443</v>
      </c>
      <c r="P29" s="5">
        <f t="shared" si="4"/>
        <v>4924476</v>
      </c>
      <c r="Q29" s="17">
        <f>+(100*N29)/P29</f>
        <v>47.47780271444109</v>
      </c>
      <c r="R29" s="17">
        <f>+(O29*100)/P29</f>
        <v>52.52219728555891</v>
      </c>
      <c r="S29" s="22">
        <f>+K29*Q29/100</f>
        <v>232502.59811683517</v>
      </c>
      <c r="T29" s="22">
        <f>+L29*Q29/100</f>
        <v>2101624.4030538481</v>
      </c>
      <c r="U29" s="22">
        <f>+M29*Q29/100</f>
        <v>33914.818813006706</v>
      </c>
      <c r="V29" s="22">
        <f t="shared" si="5"/>
        <v>2368041.81998369</v>
      </c>
      <c r="W29" s="24">
        <f>+K29*R29/100</f>
        <v>257205.40188316483</v>
      </c>
      <c r="X29" s="24">
        <f>+L29*R29/100</f>
        <v>2324916.5969461519</v>
      </c>
      <c r="Y29" s="24">
        <f>+R29*M29/100</f>
        <v>37518.181186993294</v>
      </c>
      <c r="Z29" s="24">
        <f t="shared" si="6"/>
        <v>2619640.18001631</v>
      </c>
      <c r="AA29" s="15">
        <f t="shared" si="7"/>
        <v>9.8183484833235148</v>
      </c>
      <c r="AB29" s="15">
        <f t="shared" si="8"/>
        <v>88.749463177484046</v>
      </c>
      <c r="AC29" s="9">
        <f t="shared" si="9"/>
        <v>1.4321883391924359</v>
      </c>
      <c r="AD29" s="11">
        <f t="shared" si="10"/>
        <v>9.8183484833235166</v>
      </c>
      <c r="AE29" s="11">
        <f t="shared" si="11"/>
        <v>88.749463177484046</v>
      </c>
      <c r="AF29" s="11">
        <f t="shared" si="12"/>
        <v>1.4321883391924359</v>
      </c>
      <c r="AG29" s="13"/>
    </row>
    <row r="30" spans="1:33">
      <c r="A30" s="2">
        <v>2018</v>
      </c>
      <c r="B30" s="4">
        <v>10507650</v>
      </c>
      <c r="C30" s="4">
        <v>13501540</v>
      </c>
      <c r="D30" s="4">
        <v>64961</v>
      </c>
      <c r="E30" s="5">
        <f t="shared" si="0"/>
        <v>24074151</v>
      </c>
      <c r="F30" s="11">
        <f t="shared" si="1"/>
        <v>43.647022069438712</v>
      </c>
      <c r="G30" s="11">
        <f t="shared" si="2"/>
        <v>56.08314079279473</v>
      </c>
      <c r="H30" s="11">
        <f t="shared" si="3"/>
        <v>0.26983713776656132</v>
      </c>
      <c r="I30" s="4">
        <v>3459722</v>
      </c>
      <c r="J30" s="4">
        <v>1933445</v>
      </c>
      <c r="K30" s="4">
        <v>488975</v>
      </c>
      <c r="L30" s="4">
        <v>4478050</v>
      </c>
      <c r="M30" s="25">
        <v>117433</v>
      </c>
      <c r="N30" s="4">
        <v>2406518</v>
      </c>
      <c r="O30" s="4">
        <v>2574393</v>
      </c>
      <c r="P30" s="5">
        <f t="shared" si="4"/>
        <v>4980911</v>
      </c>
      <c r="Q30" s="17">
        <f>+(100*N30)/P30</f>
        <v>48.31481630569187</v>
      </c>
      <c r="R30" s="17">
        <f>+(O30*100)/P30</f>
        <v>51.68518369430813</v>
      </c>
      <c r="S30" s="22">
        <f>+K30*Q30/100</f>
        <v>236247.37303075683</v>
      </c>
      <c r="T30" s="22">
        <f>+L30*Q30/100</f>
        <v>2163561.6315770349</v>
      </c>
      <c r="U30" s="22">
        <f>+M30*Q30/100</f>
        <v>56737.538232263134</v>
      </c>
      <c r="V30" s="22">
        <f t="shared" si="5"/>
        <v>2456546.5428400552</v>
      </c>
      <c r="W30" s="24">
        <f>+K30*R30/100</f>
        <v>252727.62696924317</v>
      </c>
      <c r="X30" s="24">
        <f>+L30*R30/100</f>
        <v>2314488.3684229651</v>
      </c>
      <c r="Y30" s="24">
        <f>+R30*M30/100</f>
        <v>60695.461767736866</v>
      </c>
      <c r="Z30" s="24">
        <f t="shared" si="6"/>
        <v>2627911.4571599448</v>
      </c>
      <c r="AA30" s="15">
        <f t="shared" si="7"/>
        <v>9.6170525943964904</v>
      </c>
      <c r="AB30" s="15">
        <f t="shared" si="8"/>
        <v>88.073301028349519</v>
      </c>
      <c r="AC30" s="9">
        <f t="shared" si="9"/>
        <v>2.3096463772539835</v>
      </c>
      <c r="AD30" s="11">
        <f t="shared" si="10"/>
        <v>9.617052594396494</v>
      </c>
      <c r="AE30" s="11">
        <f t="shared" si="11"/>
        <v>88.073301028349547</v>
      </c>
      <c r="AF30" s="11">
        <f t="shared" si="12"/>
        <v>2.3096463772539551</v>
      </c>
      <c r="AG30" s="13"/>
    </row>
    <row r="31" spans="1:33">
      <c r="A31" s="2">
        <v>2019</v>
      </c>
      <c r="B31" s="4">
        <v>10939069</v>
      </c>
      <c r="C31" s="4">
        <v>13510143</v>
      </c>
      <c r="D31" s="4">
        <v>108914</v>
      </c>
      <c r="E31" s="5">
        <f t="shared" si="0"/>
        <v>24558126</v>
      </c>
      <c r="F31" s="11">
        <f t="shared" si="1"/>
        <v>44.54358203064843</v>
      </c>
      <c r="G31" s="11">
        <f t="shared" si="2"/>
        <v>55.01292321734973</v>
      </c>
      <c r="H31" s="11">
        <f t="shared" si="3"/>
        <v>0.44349475200184246</v>
      </c>
      <c r="I31" s="4">
        <v>3607226</v>
      </c>
      <c r="J31" s="4">
        <v>1908492</v>
      </c>
      <c r="K31" s="4">
        <v>488872</v>
      </c>
      <c r="L31" s="4">
        <v>4504394</v>
      </c>
      <c r="M31" s="25">
        <v>178637</v>
      </c>
      <c r="N31" s="4">
        <v>2467487</v>
      </c>
      <c r="O31" s="4">
        <v>2548486</v>
      </c>
      <c r="P31" s="5">
        <f t="shared" si="4"/>
        <v>5015973</v>
      </c>
      <c r="Q31" s="17">
        <f>+(100*N31)/P31</f>
        <v>49.192589354049552</v>
      </c>
      <c r="R31" s="17">
        <f>+(O31*100)/P31</f>
        <v>50.807410645950448</v>
      </c>
      <c r="S31" s="22">
        <f>+K31*Q31/100</f>
        <v>240488.79542692911</v>
      </c>
      <c r="T31" s="22">
        <f>+L31*Q31/100</f>
        <v>2215828.0433084466</v>
      </c>
      <c r="U31" s="22">
        <f>+M31*Q31/100</f>
        <v>87876.165844393501</v>
      </c>
      <c r="V31" s="22">
        <f t="shared" si="5"/>
        <v>2544193.004579769</v>
      </c>
      <c r="W31" s="24">
        <f>+K31*R31/100</f>
        <v>248383.20457307089</v>
      </c>
      <c r="X31" s="24">
        <f>+L31*R31/100</f>
        <v>2288565.9566915534</v>
      </c>
      <c r="Y31" s="24">
        <f>+R31*M31/100</f>
        <v>90760.834155606499</v>
      </c>
      <c r="Z31" s="24">
        <f t="shared" si="6"/>
        <v>2627709.995420231</v>
      </c>
      <c r="AA31" s="15">
        <f t="shared" si="7"/>
        <v>9.4524587951475514</v>
      </c>
      <c r="AB31" s="15">
        <f t="shared" si="8"/>
        <v>87.093551445183735</v>
      </c>
      <c r="AC31" s="9">
        <f t="shared" si="9"/>
        <v>3.4539897596687155</v>
      </c>
      <c r="AD31" s="11">
        <f t="shared" si="10"/>
        <v>9.4524587951475496</v>
      </c>
      <c r="AE31" s="11">
        <f t="shared" si="11"/>
        <v>87.093551445183707</v>
      </c>
      <c r="AF31" s="11">
        <f t="shared" si="12"/>
        <v>3.4539897596687439</v>
      </c>
      <c r="AG31" s="13"/>
    </row>
    <row r="32" spans="1:33">
      <c r="A32" s="2">
        <v>2020</v>
      </c>
      <c r="B32" s="4">
        <v>11126944</v>
      </c>
      <c r="C32" s="4">
        <v>13451079</v>
      </c>
      <c r="D32" s="4">
        <v>138875</v>
      </c>
      <c r="E32" s="5">
        <f t="shared" si="0"/>
        <v>24716898</v>
      </c>
      <c r="F32" s="11">
        <f t="shared" si="1"/>
        <v>45.017558433101115</v>
      </c>
      <c r="G32" s="11">
        <f t="shared" si="2"/>
        <v>54.420578990130558</v>
      </c>
      <c r="H32" s="11">
        <f t="shared" si="3"/>
        <v>0.56186257676833073</v>
      </c>
      <c r="I32" s="4">
        <v>3735920</v>
      </c>
      <c r="J32" s="4">
        <v>1891754</v>
      </c>
      <c r="K32" s="4">
        <v>488441</v>
      </c>
      <c r="L32" s="4">
        <v>4514742</v>
      </c>
      <c r="M32" s="25">
        <v>222242</v>
      </c>
      <c r="N32" s="4">
        <v>2516177</v>
      </c>
      <c r="O32" s="4">
        <v>2514750</v>
      </c>
      <c r="P32" s="5">
        <f t="shared" si="4"/>
        <v>5030927</v>
      </c>
      <c r="Q32" s="17">
        <f>+(100*N32)/P32</f>
        <v>50.01418227694419</v>
      </c>
      <c r="R32" s="17">
        <f>+(O32*100)/P32</f>
        <v>49.98581772305581</v>
      </c>
      <c r="S32" s="22">
        <f>+K32*Q32/100</f>
        <v>244289.77205532897</v>
      </c>
      <c r="T32" s="22">
        <f>+L32*Q32/100</f>
        <v>2258011.2932137558</v>
      </c>
      <c r="U32" s="22">
        <f>+M32*Q32/100</f>
        <v>111152.5189759263</v>
      </c>
      <c r="V32" s="22">
        <f t="shared" si="5"/>
        <v>2613453.5842450107</v>
      </c>
      <c r="W32" s="24">
        <f>+K32*R32/100</f>
        <v>244151.22794467103</v>
      </c>
      <c r="X32" s="24">
        <f>+L32*R32/100</f>
        <v>2256730.7067862442</v>
      </c>
      <c r="Y32" s="24">
        <f>+R32*M32/100</f>
        <v>111089.4810240737</v>
      </c>
      <c r="Z32" s="24">
        <f t="shared" si="6"/>
        <v>2611971.4157549893</v>
      </c>
      <c r="AA32" s="15">
        <f t="shared" si="7"/>
        <v>9.3473927958012997</v>
      </c>
      <c r="AB32" s="15">
        <f t="shared" si="8"/>
        <v>86.399517742575981</v>
      </c>
      <c r="AC32" s="9">
        <f t="shared" si="9"/>
        <v>4.2530894616227215</v>
      </c>
      <c r="AD32" s="11">
        <f t="shared" si="10"/>
        <v>9.3473927958012979</v>
      </c>
      <c r="AE32" s="11">
        <f t="shared" si="11"/>
        <v>86.399517742575952</v>
      </c>
      <c r="AF32" s="11">
        <f t="shared" si="12"/>
        <v>4.2530894616227499</v>
      </c>
      <c r="AG32" s="13"/>
    </row>
    <row r="33" spans="1:33">
      <c r="A33" s="2">
        <v>2021</v>
      </c>
      <c r="B33" s="4">
        <v>11413242</v>
      </c>
      <c r="C33" s="4">
        <v>13346381</v>
      </c>
      <c r="D33" s="4">
        <v>181346</v>
      </c>
      <c r="E33" s="5">
        <f t="shared" si="0"/>
        <v>24940969</v>
      </c>
      <c r="F33" s="11">
        <f t="shared" si="1"/>
        <v>45.761020752641969</v>
      </c>
      <c r="G33" s="11">
        <f t="shared" si="2"/>
        <v>53.511878387724231</v>
      </c>
      <c r="H33" s="11">
        <f t="shared" si="3"/>
        <v>0.72710085963380167</v>
      </c>
      <c r="I33" s="4">
        <v>3866220</v>
      </c>
      <c r="J33" s="4">
        <v>1868056</v>
      </c>
      <c r="K33" s="4">
        <v>488927</v>
      </c>
      <c r="L33" s="4">
        <v>4525981</v>
      </c>
      <c r="M33" s="25">
        <v>278305</v>
      </c>
      <c r="N33" s="4">
        <v>2569109</v>
      </c>
      <c r="O33" s="4">
        <v>2481307</v>
      </c>
      <c r="P33" s="5">
        <f t="shared" si="4"/>
        <v>5050416</v>
      </c>
      <c r="Q33" s="17">
        <f>+(100*N33)/P33</f>
        <v>50.869255126706392</v>
      </c>
      <c r="R33" s="17">
        <f>+(O33*100)/P33</f>
        <v>49.130744873293608</v>
      </c>
      <c r="S33" s="22">
        <f>+K33*Q33/100</f>
        <v>248713.52301335175</v>
      </c>
      <c r="T33" s="22">
        <f>+L33*Q33/100</f>
        <v>2302332.8218762572</v>
      </c>
      <c r="U33" s="22">
        <f>+M33*Q33/100</f>
        <v>141571.68048038022</v>
      </c>
      <c r="V33" s="22">
        <f t="shared" si="5"/>
        <v>2692618.0253699892</v>
      </c>
      <c r="W33" s="24">
        <f>+K33*R33/100</f>
        <v>240213.47698664825</v>
      </c>
      <c r="X33" s="24">
        <f>+L33*R33/100</f>
        <v>2223648.1781237428</v>
      </c>
      <c r="Y33" s="24">
        <f>+R33*M33/100</f>
        <v>136733.31951961978</v>
      </c>
      <c r="Z33" s="24">
        <f t="shared" si="6"/>
        <v>2600594.9746300108</v>
      </c>
      <c r="AA33" s="15">
        <f t="shared" si="7"/>
        <v>9.2368661529396228</v>
      </c>
      <c r="AB33" s="15">
        <f t="shared" si="8"/>
        <v>85.505363188671978</v>
      </c>
      <c r="AC33" s="9">
        <f t="shared" si="9"/>
        <v>5.2577706583883952</v>
      </c>
      <c r="AD33" s="11">
        <f t="shared" si="10"/>
        <v>9.2368661529396228</v>
      </c>
      <c r="AE33" s="11">
        <f t="shared" si="11"/>
        <v>85.505363188671993</v>
      </c>
      <c r="AF33" s="11">
        <f t="shared" si="12"/>
        <v>5.257770658388381</v>
      </c>
      <c r="AG33" s="13"/>
    </row>
    <row r="34" spans="1:33">
      <c r="A34" s="2">
        <v>2022</v>
      </c>
      <c r="B34" s="4">
        <v>11750799</v>
      </c>
      <c r="C34" s="4">
        <v>13245872</v>
      </c>
      <c r="D34" s="4">
        <v>225883</v>
      </c>
      <c r="E34" s="5">
        <f t="shared" si="0"/>
        <v>25222554</v>
      </c>
      <c r="F34" s="11">
        <f t="shared" si="1"/>
        <v>46.5884580919125</v>
      </c>
      <c r="G34" s="11">
        <f t="shared" si="2"/>
        <v>52.515982322805215</v>
      </c>
      <c r="H34" s="11">
        <f t="shared" si="3"/>
        <v>0.89555958528228352</v>
      </c>
      <c r="I34" s="4">
        <v>4006804</v>
      </c>
      <c r="J34" s="4">
        <v>1842501</v>
      </c>
      <c r="K34" s="4">
        <v>492880</v>
      </c>
      <c r="L34" s="4">
        <v>4541506</v>
      </c>
      <c r="M34" s="25">
        <v>339980</v>
      </c>
      <c r="N34" s="4">
        <v>2617145</v>
      </c>
      <c r="O34" s="4">
        <v>2457923</v>
      </c>
      <c r="P34" s="5">
        <f t="shared" si="4"/>
        <v>5075068</v>
      </c>
      <c r="Q34" s="17">
        <f>+(100*N34)/P34</f>
        <v>51.568668636558172</v>
      </c>
      <c r="R34" s="17">
        <f>+(O34*100)/P34</f>
        <v>48.431331363441828</v>
      </c>
      <c r="S34" s="22">
        <f>+K34*Q34/100</f>
        <v>254171.65397586793</v>
      </c>
      <c r="T34" s="22">
        <f>+L34*Q34/100</f>
        <v>2341994.1802494074</v>
      </c>
      <c r="U34" s="22">
        <f>+M34*Q34/100</f>
        <v>175323.15963057047</v>
      </c>
      <c r="V34" s="22">
        <f t="shared" si="5"/>
        <v>2771488.9938558461</v>
      </c>
      <c r="W34" s="24">
        <f>+K34*R34/100</f>
        <v>238708.34602413207</v>
      </c>
      <c r="X34" s="24">
        <f>+L34*R34/100</f>
        <v>2199511.8197505926</v>
      </c>
      <c r="Y34" s="24">
        <f>+R34*M34/100</f>
        <v>164656.84036942953</v>
      </c>
      <c r="Z34" s="24">
        <f t="shared" si="6"/>
        <v>2602877.0061441539</v>
      </c>
      <c r="AA34" s="15">
        <f t="shared" si="7"/>
        <v>9.1709422097415771</v>
      </c>
      <c r="AB34" s="15">
        <f t="shared" si="8"/>
        <v>84.503102319417749</v>
      </c>
      <c r="AC34" s="9">
        <f t="shared" si="9"/>
        <v>6.3259554708406682</v>
      </c>
      <c r="AD34" s="11">
        <f t="shared" si="10"/>
        <v>9.1709422097415771</v>
      </c>
      <c r="AE34" s="11">
        <f t="shared" si="11"/>
        <v>84.503102319417792</v>
      </c>
      <c r="AF34" s="11">
        <f t="shared" si="12"/>
        <v>6.3259554708406256</v>
      </c>
      <c r="AG34" s="13"/>
    </row>
    <row r="35" spans="1:33">
      <c r="A35" s="2">
        <v>2023</v>
      </c>
      <c r="B35" s="4">
        <v>11943484</v>
      </c>
      <c r="C35" s="4">
        <v>13105719</v>
      </c>
      <c r="D35" s="4">
        <v>307391</v>
      </c>
      <c r="E35" s="5">
        <f t="shared" si="0"/>
        <v>25356594</v>
      </c>
      <c r="F35" s="11">
        <f t="shared" si="1"/>
        <v>47.102083189879522</v>
      </c>
      <c r="G35" s="11">
        <f t="shared" si="2"/>
        <v>51.685644373215112</v>
      </c>
      <c r="H35" s="11">
        <f t="shared" si="3"/>
        <v>1.2122724369053668</v>
      </c>
      <c r="I35" s="4">
        <v>4162850</v>
      </c>
      <c r="J35" s="4">
        <v>1815623</v>
      </c>
      <c r="K35" s="4">
        <v>496380</v>
      </c>
      <c r="L35" s="4">
        <v>4603119</v>
      </c>
      <c r="M35" s="25">
        <v>439111</v>
      </c>
      <c r="N35" s="4">
        <v>2681233</v>
      </c>
      <c r="O35" s="4">
        <v>2466998</v>
      </c>
      <c r="P35" s="5">
        <f t="shared" si="4"/>
        <v>5148231</v>
      </c>
      <c r="Q35" s="17">
        <f>+(100*N35)/P35</f>
        <v>52.080666155034613</v>
      </c>
      <c r="R35" s="17">
        <f>+(O35*100)/P35</f>
        <v>47.919333844965387</v>
      </c>
      <c r="S35" s="22">
        <f>+K35*Q35/100</f>
        <v>258518.01066036083</v>
      </c>
      <c r="T35" s="22">
        <f>+L35*Q35/100</f>
        <v>2397335.0391089679</v>
      </c>
      <c r="U35" s="22">
        <f>+M35*Q35/100</f>
        <v>228691.93396003402</v>
      </c>
      <c r="V35" s="22">
        <f t="shared" si="5"/>
        <v>2884544.983729363</v>
      </c>
      <c r="W35" s="24">
        <f>+K35*R35/100</f>
        <v>237861.98933963917</v>
      </c>
      <c r="X35" s="24">
        <f>+L35*R35/100</f>
        <v>2205783.9608910321</v>
      </c>
      <c r="Y35" s="24">
        <f>+R35*M35/100</f>
        <v>210419.06603996598</v>
      </c>
      <c r="Z35" s="24">
        <f t="shared" si="6"/>
        <v>2654065.016270637</v>
      </c>
      <c r="AA35" s="15">
        <f t="shared" si="7"/>
        <v>8.9621764305484586</v>
      </c>
      <c r="AB35" s="15">
        <f t="shared" si="8"/>
        <v>83.109643033179793</v>
      </c>
      <c r="AC35" s="9">
        <f t="shared" si="9"/>
        <v>7.9281805362717535</v>
      </c>
      <c r="AD35" s="11">
        <f t="shared" si="10"/>
        <v>8.9621764305484604</v>
      </c>
      <c r="AE35" s="11">
        <f t="shared" si="11"/>
        <v>83.109643033179822</v>
      </c>
      <c r="AF35" s="11">
        <f t="shared" si="12"/>
        <v>7.928180536271725</v>
      </c>
      <c r="AG35" s="13"/>
    </row>
    <row r="36" spans="1:33">
      <c r="A36" s="2">
        <v>2024</v>
      </c>
      <c r="B36" s="4">
        <v>11935047</v>
      </c>
      <c r="C36" s="4">
        <v>12904536</v>
      </c>
      <c r="D36" s="4">
        <v>404948</v>
      </c>
      <c r="E36" s="5">
        <f t="shared" si="0"/>
        <v>25244531</v>
      </c>
      <c r="F36" s="11">
        <f t="shared" si="1"/>
        <v>47.277752951718533</v>
      </c>
      <c r="G36" s="11">
        <f t="shared" si="2"/>
        <v>51.118145153894915</v>
      </c>
      <c r="H36" s="11">
        <f t="shared" si="3"/>
        <v>1.6041018943865506</v>
      </c>
      <c r="I36" s="4">
        <v>4338881</v>
      </c>
      <c r="J36" s="4">
        <v>1620708</v>
      </c>
      <c r="K36" s="4">
        <v>503952</v>
      </c>
      <c r="L36" s="4">
        <v>4643516</v>
      </c>
      <c r="M36" s="25">
        <v>553817</v>
      </c>
      <c r="N36" s="4">
        <v>2741010</v>
      </c>
      <c r="O36" s="4">
        <v>2462425</v>
      </c>
      <c r="P36" s="5">
        <f t="shared" si="4"/>
        <v>5203435</v>
      </c>
      <c r="Q36" s="17">
        <f>+(100*N36)/P36</f>
        <v>52.676933602514495</v>
      </c>
      <c r="R36" s="17">
        <f>+(O36*100)/P36</f>
        <v>47.323066397485505</v>
      </c>
      <c r="S36" s="22">
        <f>+K36*Q36/100</f>
        <v>265466.46042854385</v>
      </c>
      <c r="T36" s="22">
        <f>+L36*Q36/100</f>
        <v>2446061.8401421369</v>
      </c>
      <c r="U36" s="22">
        <f>+M36*Q36/100</f>
        <v>291733.8133694377</v>
      </c>
      <c r="V36" s="22">
        <f t="shared" si="5"/>
        <v>3003262.1139401183</v>
      </c>
      <c r="W36" s="24">
        <f>+K36*R36/100</f>
        <v>238485.53957145617</v>
      </c>
      <c r="X36" s="24">
        <f>+L36*R36/100</f>
        <v>2197454.1598578631</v>
      </c>
      <c r="Y36" s="24">
        <f>+R36*M36/100</f>
        <v>262083.1866305623</v>
      </c>
      <c r="Z36" s="24">
        <f t="shared" si="6"/>
        <v>2698022.8860598817</v>
      </c>
      <c r="AA36" s="15">
        <f t="shared" si="7"/>
        <v>8.8392704451715716</v>
      </c>
      <c r="AB36" s="15">
        <f t="shared" si="8"/>
        <v>81.446831723023848</v>
      </c>
      <c r="AC36" s="9">
        <f t="shared" si="9"/>
        <v>9.7138978318045872</v>
      </c>
      <c r="AD36" s="11">
        <f t="shared" si="10"/>
        <v>8.8392704451715716</v>
      </c>
      <c r="AE36" s="11">
        <f t="shared" si="11"/>
        <v>81.446831723023848</v>
      </c>
      <c r="AF36" s="11">
        <f t="shared" si="12"/>
        <v>9.7138978318045872</v>
      </c>
      <c r="AG36" s="13"/>
    </row>
    <row r="37" spans="1:33">
      <c r="N37" s="5"/>
      <c r="S37" s="18"/>
      <c r="T37" s="18"/>
      <c r="U37" s="18"/>
      <c r="V37" s="18"/>
      <c r="W37" s="18"/>
      <c r="X37" s="18"/>
      <c r="Y37" s="18"/>
      <c r="Z37" s="18"/>
      <c r="AA37" s="15"/>
      <c r="AC37" s="9"/>
    </row>
    <row r="38" spans="1:33">
      <c r="T38" s="18"/>
      <c r="U38" s="18"/>
      <c r="V38" s="18"/>
    </row>
    <row r="39" spans="1:33">
      <c r="T39" s="5"/>
      <c r="U39" s="5"/>
      <c r="V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% vehículos</vt:lpstr>
      <vt:lpstr>tecnica_todoas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Pérez</dc:creator>
  <cp:lastModifiedBy>Vanesa Pérez</cp:lastModifiedBy>
  <dcterms:created xsi:type="dcterms:W3CDTF">2026-01-27T13:35:43Z</dcterms:created>
  <dcterms:modified xsi:type="dcterms:W3CDTF">2026-01-28T12:50:46Z</dcterms:modified>
</cp:coreProperties>
</file>