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pere\Desktop\Especialitzacio\Proyecto\ORDENADOS\Evolucion coches\"/>
    </mc:Choice>
  </mc:AlternateContent>
  <xr:revisionPtr revIDLastSave="0" documentId="13_ncr:1_{AE1CD96D-A1FB-4DFC-8F72-BBD7653979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n" sheetId="1" r:id="rId1"/>
    <sheet name="% bc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P2" i="1" s="1"/>
  <c r="N2" i="1"/>
  <c r="L3" i="1"/>
  <c r="O3" i="1" s="1"/>
  <c r="M3" i="1"/>
  <c r="P3" i="1" s="1"/>
  <c r="N3" i="1"/>
  <c r="L4" i="1"/>
  <c r="O4" i="1" s="1"/>
  <c r="M4" i="1"/>
  <c r="P4" i="1" s="1"/>
  <c r="N4" i="1"/>
  <c r="L5" i="1"/>
  <c r="O5" i="1" s="1"/>
  <c r="M5" i="1"/>
  <c r="P5" i="1" s="1"/>
  <c r="N5" i="1"/>
  <c r="Q5" i="1" s="1"/>
  <c r="L6" i="1"/>
  <c r="O6" i="1" s="1"/>
  <c r="M6" i="1"/>
  <c r="P6" i="1" s="1"/>
  <c r="N6" i="1"/>
  <c r="Q6" i="1" s="1"/>
  <c r="L7" i="1"/>
  <c r="O7" i="1" s="1"/>
  <c r="M7" i="1"/>
  <c r="N7" i="1"/>
  <c r="L8" i="1"/>
  <c r="M8" i="1"/>
  <c r="N8" i="1"/>
  <c r="L9" i="1"/>
  <c r="O9" i="1" s="1"/>
  <c r="M9" i="1"/>
  <c r="P9" i="1" s="1"/>
  <c r="N9" i="1"/>
  <c r="L10" i="1"/>
  <c r="O10" i="1" s="1"/>
  <c r="M10" i="1"/>
  <c r="P10" i="1" s="1"/>
  <c r="N10" i="1"/>
  <c r="E2" i="1"/>
  <c r="H2" i="1" s="1"/>
  <c r="T3" i="1"/>
  <c r="W3" i="1" s="1"/>
  <c r="U3" i="1"/>
  <c r="X3" i="1" s="1"/>
  <c r="T4" i="1"/>
  <c r="W4" i="1" s="1"/>
  <c r="U4" i="1"/>
  <c r="X4" i="1" s="1"/>
  <c r="T5" i="1"/>
  <c r="W5" i="1" s="1"/>
  <c r="U5" i="1"/>
  <c r="X5" i="1" s="1"/>
  <c r="T6" i="1"/>
  <c r="W6" i="1" s="1"/>
  <c r="U6" i="1"/>
  <c r="X6" i="1" s="1"/>
  <c r="T7" i="1"/>
  <c r="W7" i="1" s="1"/>
  <c r="U7" i="1"/>
  <c r="X7" i="1" s="1"/>
  <c r="T8" i="1"/>
  <c r="W8" i="1" s="1"/>
  <c r="U8" i="1"/>
  <c r="X8" i="1" s="1"/>
  <c r="T9" i="1"/>
  <c r="W9" i="1" s="1"/>
  <c r="U9" i="1"/>
  <c r="X9" i="1" s="1"/>
  <c r="T10" i="1"/>
  <c r="W10" i="1" s="1"/>
  <c r="U10" i="1"/>
  <c r="X10" i="1" s="1"/>
  <c r="U2" i="1"/>
  <c r="X2" i="1" s="1"/>
  <c r="T2" i="1"/>
  <c r="W2" i="1" s="1"/>
  <c r="S3" i="1"/>
  <c r="V3" i="1" s="1"/>
  <c r="S4" i="1"/>
  <c r="V4" i="1" s="1"/>
  <c r="S5" i="1"/>
  <c r="V5" i="1" s="1"/>
  <c r="S6" i="1"/>
  <c r="V6" i="1" s="1"/>
  <c r="S7" i="1"/>
  <c r="S8" i="1"/>
  <c r="V8" i="1" s="1"/>
  <c r="S9" i="1"/>
  <c r="S10" i="1"/>
  <c r="S2" i="1"/>
  <c r="V2" i="1" s="1"/>
  <c r="Q3" i="1"/>
  <c r="Q4" i="1"/>
  <c r="Q7" i="1"/>
  <c r="Q8" i="1"/>
  <c r="Q9" i="1"/>
  <c r="Q10" i="1"/>
  <c r="Q2" i="1"/>
  <c r="P8" i="1"/>
  <c r="O8" i="1"/>
  <c r="O2" i="1"/>
  <c r="AL3" i="1"/>
  <c r="AL4" i="1"/>
  <c r="AL5" i="1"/>
  <c r="AL6" i="1"/>
  <c r="AL7" i="1"/>
  <c r="AL8" i="1"/>
  <c r="AL9" i="1"/>
  <c r="AL10" i="1"/>
  <c r="AL2" i="1"/>
  <c r="P7" i="1"/>
  <c r="G3" i="1"/>
  <c r="J3" i="1" s="1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2" i="1"/>
  <c r="J2" i="1" s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2" i="1"/>
  <c r="I2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AS10" i="1"/>
  <c r="AS9" i="1"/>
  <c r="AS8" i="1"/>
  <c r="AS7" i="1"/>
  <c r="AS6" i="1"/>
  <c r="AS5" i="1"/>
  <c r="AS4" i="1"/>
  <c r="AS3" i="1"/>
  <c r="AC2" i="1" l="1"/>
  <c r="Z2" i="1"/>
  <c r="AC5" i="1"/>
  <c r="AC8" i="1"/>
  <c r="AC6" i="1"/>
  <c r="AC4" i="1"/>
  <c r="AC3" i="1"/>
  <c r="V10" i="1"/>
  <c r="V9" i="1"/>
  <c r="V7" i="1"/>
  <c r="Z7" i="1" s="1"/>
  <c r="AB7" i="1" s="1"/>
  <c r="AD9" i="1"/>
  <c r="AD8" i="1"/>
  <c r="AD7" i="1"/>
  <c r="AD2" i="1"/>
  <c r="AD6" i="1"/>
  <c r="AD10" i="1"/>
  <c r="AD5" i="1"/>
  <c r="AD4" i="1"/>
  <c r="AD3" i="1"/>
  <c r="Z6" i="1"/>
  <c r="AB6" i="1" s="1"/>
  <c r="Z3" i="1"/>
  <c r="AB3" i="1" s="1"/>
  <c r="Z5" i="1"/>
  <c r="AB5" i="1" s="1"/>
  <c r="Z4" i="1"/>
  <c r="AB4" i="1" s="1"/>
  <c r="Z8" i="1"/>
  <c r="AB8" i="1" s="1"/>
  <c r="AC7" i="1" l="1"/>
  <c r="AC9" i="1"/>
  <c r="AC10" i="1"/>
  <c r="Z9" i="1"/>
  <c r="AB9" i="1" s="1"/>
  <c r="Z10" i="1"/>
  <c r="AB10" i="1" s="1"/>
  <c r="AB2" i="1" l="1"/>
</calcChain>
</file>

<file path=xl/sharedStrings.xml><?xml version="1.0" encoding="utf-8"?>
<sst xmlns="http://schemas.openxmlformats.org/spreadsheetml/2006/main" count="52" uniqueCount="41">
  <si>
    <t>Año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</si>
  <si>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</si>
  <si>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</si>
  <si>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</si>
  <si>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</si>
  <si>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</si>
  <si>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</si>
  <si>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</si>
  <si>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</si>
  <si>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</si>
  <si>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</si>
  <si>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</si>
  <si>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</si>
  <si>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Distintivo B</t>
  </si>
  <si>
    <t>Distintivo C</t>
  </si>
  <si>
    <t>Distintivo ECO</t>
  </si>
  <si>
    <t>Distintivo 0</t>
  </si>
  <si>
    <t>Sin Distintivo</t>
  </si>
  <si>
    <t>Total Campañas</t>
  </si>
  <si>
    <t xml:space="preserve">total distintivos </t>
  </si>
  <si>
    <t>Años</t>
  </si>
  <si>
    <t>pct_turismos_gasolina</t>
  </si>
  <si>
    <t>pct_turismos_diesel</t>
  </si>
  <si>
    <t>pct_turismos_otros</t>
  </si>
  <si>
    <t>turismos_otros</t>
  </si>
  <si>
    <t>pct_furgonetas_gasolina</t>
  </si>
  <si>
    <t>pct_furgonetas_diesel</t>
  </si>
  <si>
    <t>pct_camiones_gasolina</t>
  </si>
  <si>
    <t>pct_camiones_diesel</t>
  </si>
  <si>
    <t>furgonetas_diesel</t>
  </si>
  <si>
    <t>furgonetas_gasolina</t>
  </si>
  <si>
    <t>turismos_gasolina</t>
  </si>
  <si>
    <t>turismos_diesel</t>
  </si>
  <si>
    <t>camiones_gasolina</t>
  </si>
  <si>
    <t>camiones_diesel</t>
  </si>
  <si>
    <t>gasolina</t>
  </si>
  <si>
    <t>diesel</t>
  </si>
  <si>
    <t>pct_furgonetas_otros</t>
  </si>
  <si>
    <t>pct_camiones_otros</t>
  </si>
  <si>
    <t>furgonetas_otros</t>
  </si>
  <si>
    <t>camiones_otros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</si>
</sst>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0"/>
    <numFmt numFmtId="165" formatCode="#,##0.000"/>
    <numFmt numFmtId="166" formatCode="0.00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5"/>
      <color rgb="FF112277"/>
      <name val="Albany AMT"/>
    </font>
    <font>
      <sz val="9.5"/>
      <color rgb="FF112277"/>
      <name val="Albany AMT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3" fontId="0" fillId="2" borderId="0" xfId="0" applyNumberFormat="1" applyFill="1"/>
    <xf numFmtId="3" fontId="0" fillId="0" borderId="0" xfId="0" applyNumberFormat="1"/>
    <xf numFmtId="3" fontId="0" fillId="3" borderId="0" xfId="0" applyNumberFormat="1" applyFill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 vertical="top"/>
    </xf>
    <xf numFmtId="2" fontId="0" fillId="5" borderId="0" xfId="0" applyNumberFormat="1" applyFill="1"/>
    <xf numFmtId="0" fontId="0" fillId="5" borderId="0" xfId="0" applyFill="1"/>
    <xf numFmtId="3" fontId="0" fillId="2" borderId="0" xfId="0" applyNumberFormat="1" applyFill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2" fontId="0" fillId="0" borderId="0" xfId="0" applyNumberFormat="1"/>
    <xf numFmtId="4" fontId="0" fillId="2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2" fontId="0" fillId="6" borderId="0" xfId="0" applyNumberFormat="1" applyFill="1"/>
    <xf numFmtId="0" fontId="0" fillId="6" borderId="0" xfId="0" applyFill="1"/>
    <xf numFmtId="2" fontId="0" fillId="6" borderId="0" xfId="0" applyNumberFormat="1" applyFill="1" applyAlignment="1">
      <alignment horizontal="center"/>
    </xf>
    <xf numFmtId="4" fontId="0" fillId="6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66" fontId="0" fillId="5" borderId="0" xfId="0" applyNumberFormat="1" applyFill="1"/>
    <xf numFmtId="165" fontId="0" fillId="0" borderId="0" xfId="0" applyNumberFormat="1"/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"/>
  <sheetViews>
    <sheetView tabSelected="1" topLeftCell="W1" workbookViewId="0">
      <selection activeCell="AC18" sqref="AC18"/>
    </sheetView>
  </sheetViews>
  <sheetFormatPr baseColWidth="10" defaultRowHeight="14.4"/>
  <cols>
    <col min="2" max="2" width="19.5546875" customWidth="1"/>
    <col min="3" max="3" width="19.109375" customWidth="1"/>
    <col min="4" max="4" width="15.6640625" customWidth="1"/>
    <col min="5" max="5" width="19.33203125" style="13" hidden="1" customWidth="1"/>
    <col min="6" max="7" width="19.33203125" hidden="1" customWidth="1"/>
    <col min="8" max="10" width="19.33203125" customWidth="1"/>
    <col min="11" max="11" width="17.6640625" customWidth="1"/>
    <col min="12" max="12" width="21.21875" hidden="1" customWidth="1"/>
    <col min="13" max="14" width="19.109375" hidden="1" customWidth="1"/>
    <col min="15" max="17" width="19.109375" customWidth="1"/>
    <col min="18" max="19" width="16.5546875" customWidth="1"/>
    <col min="20" max="24" width="18.109375" customWidth="1"/>
    <col min="25" max="25" width="12.109375" hidden="1" customWidth="1"/>
    <col min="26" max="38" width="12.109375" customWidth="1"/>
    <col min="42" max="42" width="11" bestFit="1" customWidth="1"/>
    <col min="43" max="43" width="12.6640625" bestFit="1" customWidth="1"/>
  </cols>
  <sheetData>
    <row r="1" spans="1:45">
      <c r="A1" t="s">
        <v>0</v>
      </c>
      <c r="B1" s="1" t="s">
        <v>1</v>
      </c>
      <c r="C1" s="1" t="s">
        <v>2</v>
      </c>
      <c r="D1" s="1" t="s">
        <v>3</v>
      </c>
      <c r="E1" s="16" t="s">
        <v>21</v>
      </c>
      <c r="F1" s="17" t="s">
        <v>22</v>
      </c>
      <c r="G1" s="17" t="s">
        <v>23</v>
      </c>
      <c r="H1" s="21" t="s">
        <v>31</v>
      </c>
      <c r="I1" s="21" t="s">
        <v>32</v>
      </c>
      <c r="J1" s="21" t="s">
        <v>24</v>
      </c>
      <c r="K1" s="1" t="s">
        <v>4</v>
      </c>
      <c r="L1" s="1" t="s">
        <v>25</v>
      </c>
      <c r="M1" s="1" t="s">
        <v>26</v>
      </c>
      <c r="N1" s="1" t="s">
        <v>37</v>
      </c>
      <c r="O1" s="25" t="s">
        <v>30</v>
      </c>
      <c r="P1" s="25" t="s">
        <v>29</v>
      </c>
      <c r="Q1" s="25" t="s">
        <v>39</v>
      </c>
      <c r="R1" s="1" t="s">
        <v>5</v>
      </c>
      <c r="S1" s="1" t="s">
        <v>27</v>
      </c>
      <c r="T1" s="1" t="s">
        <v>28</v>
      </c>
      <c r="U1" s="1" t="s">
        <v>38</v>
      </c>
      <c r="V1" s="21" t="s">
        <v>33</v>
      </c>
      <c r="W1" s="21" t="s">
        <v>34</v>
      </c>
      <c r="X1" s="21" t="s">
        <v>40</v>
      </c>
      <c r="Y1" s="1" t="s">
        <v>6</v>
      </c>
      <c r="Z1" s="1" t="s">
        <v>6</v>
      </c>
      <c r="AA1" s="1" t="s">
        <v>6</v>
      </c>
      <c r="AB1" s="1"/>
      <c r="AC1" s="1" t="s">
        <v>35</v>
      </c>
      <c r="AD1" s="1" t="s">
        <v>36</v>
      </c>
      <c r="AE1" s="1"/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M1" s="2" t="s">
        <v>13</v>
      </c>
      <c r="AN1" s="2" t="s">
        <v>14</v>
      </c>
      <c r="AO1" s="2" t="s">
        <v>15</v>
      </c>
      <c r="AP1" s="2" t="s">
        <v>16</v>
      </c>
      <c r="AQ1" s="2" t="s">
        <v>17</v>
      </c>
      <c r="AR1" s="2" t="s">
        <v>18</v>
      </c>
      <c r="AS1" s="2" t="s">
        <v>19</v>
      </c>
    </row>
    <row r="2" spans="1:45">
      <c r="A2">
        <v>2016</v>
      </c>
      <c r="B2" s="11">
        <v>53067</v>
      </c>
      <c r="C2" s="11">
        <v>236755</v>
      </c>
      <c r="D2" s="11">
        <v>564613</v>
      </c>
      <c r="E2" s="18">
        <f>VLOOKUP(A2,'% bcn'!A:B,2,FALSE)</f>
        <v>42.927944999372727</v>
      </c>
      <c r="F2" s="19">
        <f>VLOOKUP(A2,'% bcn'!A:D,3,FALSE)</f>
        <v>56.99506006732576</v>
      </c>
      <c r="G2" s="19">
        <f>VLOOKUP(A2,'% bcn'!A:D,4,FALSE)</f>
        <v>7.6994933301510748E-2</v>
      </c>
      <c r="H2" s="22">
        <f>+D2*E2/100</f>
        <v>242376.75809930835</v>
      </c>
      <c r="I2" s="22">
        <f>+D2*F2/100</f>
        <v>321801.51849792997</v>
      </c>
      <c r="J2" s="22">
        <f>+D2*G2/100</f>
        <v>434.72340276165886</v>
      </c>
      <c r="K2" s="11">
        <v>56441</v>
      </c>
      <c r="L2" s="20">
        <f>VLOOKUP(A2,'% bcn'!A:J,5,FALSE)</f>
        <v>10.153909842852107</v>
      </c>
      <c r="M2" s="20">
        <f>VLOOKUP(A2,'% bcn'!A:J,6,FALSE)</f>
        <v>89.726753670473087</v>
      </c>
      <c r="N2" s="20">
        <f>VLOOKUP(A2,'% bcn'!A:J,7,FALSE)</f>
        <v>0.11933648667481123</v>
      </c>
      <c r="O2" s="26">
        <f t="shared" ref="O2:O10" si="0">+K2*L2/100</f>
        <v>5730.968254404158</v>
      </c>
      <c r="P2" s="26">
        <f t="shared" ref="P2:P10" si="1">+K2*M2/100</f>
        <v>50642.677039151713</v>
      </c>
      <c r="Q2" s="26">
        <f t="shared" ref="Q2:Q10" si="2">K2*N2/100</f>
        <v>67.354706444130201</v>
      </c>
      <c r="R2" s="11">
        <v>42865</v>
      </c>
      <c r="S2" s="14">
        <f>VLOOKUP(bcn!A2,'% bcn'!A:J,8,FALSE)</f>
        <v>10.153909842852107</v>
      </c>
      <c r="T2" s="14">
        <f>VLOOKUP(bcn!A2,'% bcn'!A:J,9,FALSE)</f>
        <v>89.726753670473087</v>
      </c>
      <c r="U2" s="14">
        <f>VLOOKUP(bcn!A2,'% bcn'!A:J,10,FALSE)</f>
        <v>0.11933648667481123</v>
      </c>
      <c r="V2" s="22">
        <f>+R2*S2/100</f>
        <v>4352.473454138556</v>
      </c>
      <c r="W2" s="22">
        <f>+R2*T2/100</f>
        <v>38461.37296084829</v>
      </c>
      <c r="X2" s="22">
        <f>+R2*U2/100</f>
        <v>51.153585013157837</v>
      </c>
      <c r="Y2" s="11">
        <v>973593</v>
      </c>
      <c r="Z2" s="15">
        <f>+W2+V2+P2+O2+J2+I2+H2+C2+B2+X2+Q2</f>
        <v>953740.99999999988</v>
      </c>
      <c r="AA2" s="3">
        <v>973593</v>
      </c>
      <c r="AB2" s="3">
        <f t="shared" ref="AB2:AB10" si="3">+AA2-Z2</f>
        <v>19852.000000000116</v>
      </c>
      <c r="AC2" s="3">
        <f>+V2+O2+H2+E2</f>
        <v>252503.12775285044</v>
      </c>
      <c r="AD2" s="3">
        <f t="shared" ref="AD2:AD10" si="4">+W2+P2+I2</f>
        <v>410905.56849792995</v>
      </c>
      <c r="AE2" s="3"/>
      <c r="AF2" s="4">
        <v>645630</v>
      </c>
      <c r="AG2" s="4">
        <v>316279</v>
      </c>
      <c r="AH2" s="4">
        <v>2387</v>
      </c>
      <c r="AI2" s="4">
        <v>231</v>
      </c>
      <c r="AJ2" s="4">
        <v>1</v>
      </c>
      <c r="AK2" s="4">
        <v>855</v>
      </c>
      <c r="AL2" s="15">
        <f>+SUM(AF2:AK2)</f>
        <v>965383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/>
      <c r="AS2" s="2"/>
    </row>
    <row r="3" spans="1:45">
      <c r="A3">
        <v>2017</v>
      </c>
      <c r="B3" s="11">
        <v>51824</v>
      </c>
      <c r="C3" s="11">
        <v>242229</v>
      </c>
      <c r="D3" s="11">
        <v>563923</v>
      </c>
      <c r="E3" s="18">
        <f>VLOOKUP(A3,'% bcn'!A:B,2,FALSE)</f>
        <v>42.989283459460971</v>
      </c>
      <c r="F3" s="19">
        <f>VLOOKUP(A3,'% bcn'!A:D,3,FALSE)</f>
        <v>56.883620836938057</v>
      </c>
      <c r="G3" s="19">
        <f>VLOOKUP(A3,'% bcn'!A:D,4,FALSE)</f>
        <v>0.12709570360097261</v>
      </c>
      <c r="H3" s="22">
        <f t="shared" ref="H3:H10" si="5">+D3*E3/100</f>
        <v>242426.45696309608</v>
      </c>
      <c r="I3" s="22">
        <f t="shared" ref="I3:I10" si="6">+D3*F3/100</f>
        <v>320779.82113228622</v>
      </c>
      <c r="J3" s="22">
        <f t="shared" ref="J3:J10" si="7">+D3*G3/100</f>
        <v>716.72190461771277</v>
      </c>
      <c r="K3" s="11">
        <v>56348</v>
      </c>
      <c r="L3" s="20">
        <f>VLOOKUP(A3,'% bcn'!A:J,5,FALSE)</f>
        <v>9.9443676850085172</v>
      </c>
      <c r="M3" s="20">
        <f>VLOOKUP(A3,'% bcn'!A:J,6,FALSE)</f>
        <v>89.888568854838582</v>
      </c>
      <c r="N3" s="20">
        <f>VLOOKUP(A3,'% bcn'!A:J,7,FALSE)</f>
        <v>0.16706346015290308</v>
      </c>
      <c r="O3" s="26">
        <f t="shared" si="0"/>
        <v>5603.4523031485987</v>
      </c>
      <c r="P3" s="26">
        <f t="shared" si="1"/>
        <v>50650.410778324447</v>
      </c>
      <c r="Q3" s="26">
        <f t="shared" si="2"/>
        <v>94.136918526957828</v>
      </c>
      <c r="R3" s="11">
        <v>42359</v>
      </c>
      <c r="S3" s="14">
        <f>VLOOKUP(bcn!A3,'% bcn'!A:J,8,FALSE)</f>
        <v>9.9443676850085172</v>
      </c>
      <c r="T3" s="14">
        <f>VLOOKUP(bcn!A3,'% bcn'!A:J,9,FALSE)</f>
        <v>89.888568854838553</v>
      </c>
      <c r="U3" s="14">
        <f>VLOOKUP(bcn!A3,'% bcn'!A:J,10,FALSE)</f>
        <v>0.1670634601529315</v>
      </c>
      <c r="V3" s="22">
        <f t="shared" ref="V3:V10" si="8">+R3*S3/100</f>
        <v>4212.3347076927575</v>
      </c>
      <c r="W3" s="22">
        <f t="shared" ref="W3:W10" si="9">+R3*T3/100</f>
        <v>38075.898881221066</v>
      </c>
      <c r="X3" s="22">
        <f t="shared" ref="X3:X10" si="10">+R3*U3/100</f>
        <v>70.766411086180256</v>
      </c>
      <c r="Y3" s="11">
        <v>976675</v>
      </c>
      <c r="Z3" s="15">
        <f t="shared" ref="Z3:Z10" si="11">+W3+V3+P3+O3+J3+I3+H3+C3+B3</f>
        <v>956518.09667038685</v>
      </c>
      <c r="AA3" s="3">
        <v>976675</v>
      </c>
      <c r="AB3" s="3">
        <f t="shared" si="3"/>
        <v>20156.903329613153</v>
      </c>
      <c r="AC3" s="3">
        <f t="shared" ref="AC3:AC10" si="12">+V3+O3+H3</f>
        <v>252242.24397393744</v>
      </c>
      <c r="AD3" s="3">
        <f t="shared" si="4"/>
        <v>409506.13079183176</v>
      </c>
      <c r="AE3" s="3"/>
      <c r="AF3" s="4">
        <v>651250</v>
      </c>
      <c r="AG3" s="4">
        <v>312136</v>
      </c>
      <c r="AH3" s="4">
        <v>3742</v>
      </c>
      <c r="AI3" s="4">
        <v>427</v>
      </c>
      <c r="AJ3" s="4">
        <v>1</v>
      </c>
      <c r="AK3" s="4">
        <v>949</v>
      </c>
      <c r="AL3" s="15">
        <f t="shared" ref="AL3:AL10" si="13">+SUM(AF3:AK3)</f>
        <v>968505</v>
      </c>
      <c r="AM3" s="5">
        <v>264553</v>
      </c>
      <c r="AN3" s="5">
        <v>266408</v>
      </c>
      <c r="AO3" s="5">
        <v>8443</v>
      </c>
      <c r="AP3" s="5">
        <v>3044</v>
      </c>
      <c r="AQ3" s="5">
        <v>426058</v>
      </c>
      <c r="AR3" s="2"/>
      <c r="AS3" s="5">
        <f>+SUM(AM3:AQ3)</f>
        <v>968506</v>
      </c>
    </row>
    <row r="4" spans="1:45">
      <c r="A4">
        <v>2018</v>
      </c>
      <c r="B4" s="11">
        <v>51556</v>
      </c>
      <c r="C4" s="11">
        <v>247615</v>
      </c>
      <c r="D4" s="11">
        <v>560791</v>
      </c>
      <c r="E4" s="18">
        <f>VLOOKUP(A4,'% bcn'!A:B,2,FALSE)</f>
        <v>43.647022069438712</v>
      </c>
      <c r="F4" s="19">
        <f>VLOOKUP(A4,'% bcn'!A:D,3,FALSE)</f>
        <v>56.08314079279473</v>
      </c>
      <c r="G4" s="19">
        <f>VLOOKUP(A4,'% bcn'!A:D,4,FALSE)</f>
        <v>0.26983713776656132</v>
      </c>
      <c r="H4" s="22">
        <f t="shared" si="5"/>
        <v>244768.57153342606</v>
      </c>
      <c r="I4" s="22">
        <f t="shared" si="6"/>
        <v>314509.20608332148</v>
      </c>
      <c r="J4" s="22">
        <f t="shared" si="7"/>
        <v>1513.2223832524769</v>
      </c>
      <c r="K4" s="11">
        <v>56318</v>
      </c>
      <c r="L4" s="20">
        <f>VLOOKUP(A4,'% bcn'!A:J,5,FALSE)</f>
        <v>9.8169792634319304</v>
      </c>
      <c r="M4" s="20">
        <f>VLOOKUP(A4,'% bcn'!A:J,6,FALSE)</f>
        <v>89.904236393703883</v>
      </c>
      <c r="N4" s="20">
        <f>VLOOKUP(A4,'% bcn'!A:J,7,FALSE)</f>
        <v>0.27878434286418496</v>
      </c>
      <c r="O4" s="26">
        <f t="shared" si="0"/>
        <v>5528.7263815795941</v>
      </c>
      <c r="P4" s="26">
        <f t="shared" si="1"/>
        <v>50632.267852206154</v>
      </c>
      <c r="Q4" s="26">
        <f t="shared" si="2"/>
        <v>157.00576621425168</v>
      </c>
      <c r="R4" s="11">
        <v>41470</v>
      </c>
      <c r="S4" s="14">
        <f>VLOOKUP(bcn!A4,'% bcn'!A:J,8,FALSE)</f>
        <v>9.8169792634319304</v>
      </c>
      <c r="T4" s="14">
        <f>VLOOKUP(bcn!A4,'% bcn'!A:J,9,FALSE)</f>
        <v>89.904236393703883</v>
      </c>
      <c r="U4" s="14">
        <f>VLOOKUP(bcn!A4,'% bcn'!A:J,10,FALSE)</f>
        <v>0.27878434286418496</v>
      </c>
      <c r="V4" s="22">
        <f t="shared" si="8"/>
        <v>4071.1013005452214</v>
      </c>
      <c r="W4" s="22">
        <f t="shared" si="9"/>
        <v>37283.286832468999</v>
      </c>
      <c r="X4" s="22">
        <f t="shared" si="10"/>
        <v>115.61186698577751</v>
      </c>
      <c r="Y4" s="11">
        <v>978143</v>
      </c>
      <c r="Z4" s="15">
        <f t="shared" si="11"/>
        <v>957477.38236679998</v>
      </c>
      <c r="AA4" s="3">
        <v>978143</v>
      </c>
      <c r="AB4" s="3">
        <f t="shared" si="3"/>
        <v>20665.617633200018</v>
      </c>
      <c r="AC4" s="3">
        <f t="shared" si="12"/>
        <v>254368.39921555086</v>
      </c>
      <c r="AD4" s="3">
        <f t="shared" si="4"/>
        <v>402424.76076799666</v>
      </c>
      <c r="AE4" s="3"/>
      <c r="AF4" s="4">
        <v>657795</v>
      </c>
      <c r="AG4" s="4">
        <v>302713</v>
      </c>
      <c r="AH4" s="4">
        <v>6909</v>
      </c>
      <c r="AI4" s="4">
        <v>1040</v>
      </c>
      <c r="AJ4" s="4">
        <v>0</v>
      </c>
      <c r="AK4" s="4">
        <v>1354</v>
      </c>
      <c r="AL4" s="15">
        <f t="shared" si="13"/>
        <v>969811</v>
      </c>
      <c r="AM4" s="5">
        <v>254551</v>
      </c>
      <c r="AN4" s="5">
        <v>306681</v>
      </c>
      <c r="AO4" s="5">
        <v>11866</v>
      </c>
      <c r="AP4" s="5">
        <v>6213</v>
      </c>
      <c r="AQ4" s="5">
        <v>390500</v>
      </c>
      <c r="AR4" s="2"/>
      <c r="AS4" s="5">
        <f t="shared" ref="AS4:AS10" si="14">+SUM(AM4:AQ4)</f>
        <v>969811</v>
      </c>
    </row>
    <row r="5" spans="1:45">
      <c r="A5">
        <v>2019</v>
      </c>
      <c r="B5" s="11">
        <v>51951</v>
      </c>
      <c r="C5" s="11">
        <v>251309</v>
      </c>
      <c r="D5" s="11">
        <v>553686</v>
      </c>
      <c r="E5" s="18">
        <f>VLOOKUP(A5,'% bcn'!A:B,2,FALSE)</f>
        <v>44.54358203064843</v>
      </c>
      <c r="F5" s="19">
        <f>VLOOKUP(A5,'% bcn'!A:D,3,FALSE)</f>
        <v>55.01292321734973</v>
      </c>
      <c r="G5" s="19">
        <f>VLOOKUP(A5,'% bcn'!A:D,4,FALSE)</f>
        <v>0.44349475200184246</v>
      </c>
      <c r="H5" s="22">
        <f t="shared" si="5"/>
        <v>246631.57760221607</v>
      </c>
      <c r="I5" s="22">
        <f t="shared" si="6"/>
        <v>304598.854045215</v>
      </c>
      <c r="J5" s="22">
        <f t="shared" si="7"/>
        <v>2455.5683525689215</v>
      </c>
      <c r="K5" s="11">
        <v>55663</v>
      </c>
      <c r="L5" s="20">
        <f>VLOOKUP(A5,'% bcn'!A:J,5,FALSE)</f>
        <v>9.7463044557855465</v>
      </c>
      <c r="M5" s="20">
        <f>VLOOKUP(A5,'% bcn'!A:J,6,FALSE)</f>
        <v>89.801001719905585</v>
      </c>
      <c r="N5" s="20">
        <f>VLOOKUP(A5,'% bcn'!A:J,7,FALSE)</f>
        <v>0.45269382430886651</v>
      </c>
      <c r="O5" s="26">
        <f t="shared" si="0"/>
        <v>5425.0854492239087</v>
      </c>
      <c r="P5" s="26">
        <f t="shared" si="1"/>
        <v>49985.93158735105</v>
      </c>
      <c r="Q5" s="26">
        <f t="shared" si="2"/>
        <v>251.98296342504437</v>
      </c>
      <c r="R5" s="11">
        <v>40141</v>
      </c>
      <c r="S5" s="14">
        <f>VLOOKUP(bcn!A5,'% bcn'!A:J,8,FALSE)</f>
        <v>9.7463044557855483</v>
      </c>
      <c r="T5" s="14">
        <f>VLOOKUP(bcn!A5,'% bcn'!A:J,9,FALSE)</f>
        <v>89.801001719905599</v>
      </c>
      <c r="U5" s="14">
        <f>VLOOKUP(bcn!A5,'% bcn'!A:J,10,FALSE)</f>
        <v>0.4526938243088523</v>
      </c>
      <c r="V5" s="22">
        <f t="shared" si="8"/>
        <v>3912.2640715968773</v>
      </c>
      <c r="W5" s="22">
        <f t="shared" si="9"/>
        <v>36047.020100387308</v>
      </c>
      <c r="X5" s="22">
        <f t="shared" si="10"/>
        <v>181.71582801581641</v>
      </c>
      <c r="Y5" s="11">
        <v>973407</v>
      </c>
      <c r="Z5" s="15">
        <f t="shared" si="11"/>
        <v>952316.30120855907</v>
      </c>
      <c r="AA5" s="3">
        <v>973407</v>
      </c>
      <c r="AB5" s="3">
        <f t="shared" si="3"/>
        <v>21090.698791440926</v>
      </c>
      <c r="AC5" s="3">
        <f t="shared" si="12"/>
        <v>255968.92712303685</v>
      </c>
      <c r="AD5" s="3">
        <f t="shared" si="4"/>
        <v>390631.80573295336</v>
      </c>
      <c r="AE5" s="3"/>
      <c r="AF5" s="4">
        <v>664172</v>
      </c>
      <c r="AG5" s="4">
        <v>286481</v>
      </c>
      <c r="AH5" s="4">
        <v>10767</v>
      </c>
      <c r="AI5" s="4">
        <v>1817</v>
      </c>
      <c r="AJ5" s="4">
        <v>0</v>
      </c>
      <c r="AK5" s="4">
        <v>1758</v>
      </c>
      <c r="AL5" s="15">
        <f t="shared" si="13"/>
        <v>964995</v>
      </c>
      <c r="AM5" s="5">
        <v>243630</v>
      </c>
      <c r="AN5" s="5">
        <v>343055</v>
      </c>
      <c r="AO5" s="5">
        <v>16361</v>
      </c>
      <c r="AP5" s="5">
        <v>10146</v>
      </c>
      <c r="AQ5" s="5">
        <v>351803</v>
      </c>
      <c r="AR5" s="2"/>
      <c r="AS5" s="5">
        <f t="shared" si="14"/>
        <v>964995</v>
      </c>
    </row>
    <row r="6" spans="1:45">
      <c r="A6">
        <v>2020</v>
      </c>
      <c r="B6" s="11">
        <v>54136</v>
      </c>
      <c r="C6" s="11">
        <v>253170</v>
      </c>
      <c r="D6" s="11">
        <v>546170</v>
      </c>
      <c r="E6" s="18">
        <f>VLOOKUP(A6,'% bcn'!A:B,2,FALSE)</f>
        <v>45.017558433101115</v>
      </c>
      <c r="F6" s="19">
        <f>VLOOKUP(A6,'% bcn'!A:D,3,FALSE)</f>
        <v>54.420578990130558</v>
      </c>
      <c r="G6" s="19">
        <f>VLOOKUP(A6,'% bcn'!A:D,4,FALSE)</f>
        <v>0.56186257676833073</v>
      </c>
      <c r="H6" s="22">
        <f t="shared" si="5"/>
        <v>245872.39889406838</v>
      </c>
      <c r="I6" s="22">
        <f t="shared" si="6"/>
        <v>297228.87627039605</v>
      </c>
      <c r="J6" s="22">
        <f t="shared" si="7"/>
        <v>3068.7248355355919</v>
      </c>
      <c r="K6" s="11">
        <v>55584</v>
      </c>
      <c r="L6" s="20">
        <f>VLOOKUP(A6,'% bcn'!A:J,5,FALSE)</f>
        <v>9.708767390184752</v>
      </c>
      <c r="M6" s="20">
        <f>VLOOKUP(A6,'% bcn'!A:J,6,FALSE)</f>
        <v>89.739763665821428</v>
      </c>
      <c r="N6" s="20">
        <f>VLOOKUP(A6,'% bcn'!A:J,7,FALSE)</f>
        <v>0.55146894399382518</v>
      </c>
      <c r="O6" s="26">
        <f t="shared" si="0"/>
        <v>5396.5212661602927</v>
      </c>
      <c r="P6" s="26">
        <f t="shared" si="1"/>
        <v>49880.950236010176</v>
      </c>
      <c r="Q6" s="26">
        <f t="shared" si="2"/>
        <v>306.52849782952779</v>
      </c>
      <c r="R6" s="11">
        <v>38959</v>
      </c>
      <c r="S6" s="14">
        <f>VLOOKUP(bcn!A6,'% bcn'!A:J,8,FALSE)</f>
        <v>9.7087673901847502</v>
      </c>
      <c r="T6" s="14">
        <f>VLOOKUP(bcn!A6,'% bcn'!A:J,9,FALSE)</f>
        <v>89.739763665821428</v>
      </c>
      <c r="U6" s="14">
        <f>VLOOKUP(bcn!A6,'% bcn'!A:J,10,FALSE)</f>
        <v>0.55146894399382518</v>
      </c>
      <c r="V6" s="22">
        <f t="shared" si="8"/>
        <v>3782.4386875420769</v>
      </c>
      <c r="W6" s="22">
        <f t="shared" si="9"/>
        <v>34961.714526567368</v>
      </c>
      <c r="X6" s="22">
        <f t="shared" si="10"/>
        <v>214.84678589055434</v>
      </c>
      <c r="Y6" s="11">
        <v>968884</v>
      </c>
      <c r="Z6" s="15">
        <f t="shared" si="11"/>
        <v>947497.62471628003</v>
      </c>
      <c r="AA6" s="3">
        <v>968884</v>
      </c>
      <c r="AB6" s="3">
        <f t="shared" si="3"/>
        <v>21386.375283719972</v>
      </c>
      <c r="AC6" s="3">
        <f t="shared" si="12"/>
        <v>255051.35884777075</v>
      </c>
      <c r="AD6" s="3">
        <f t="shared" si="4"/>
        <v>382071.54103297356</v>
      </c>
      <c r="AE6" s="3"/>
      <c r="AF6" s="4">
        <v>666759</v>
      </c>
      <c r="AG6" s="4">
        <v>272798</v>
      </c>
      <c r="AH6" s="4">
        <v>16510</v>
      </c>
      <c r="AI6" s="4">
        <v>2430</v>
      </c>
      <c r="AJ6" s="4">
        <v>0</v>
      </c>
      <c r="AK6" s="4">
        <v>1934</v>
      </c>
      <c r="AL6" s="15">
        <f t="shared" si="13"/>
        <v>960431</v>
      </c>
      <c r="AM6" s="5">
        <v>235484</v>
      </c>
      <c r="AN6" s="5">
        <v>368037</v>
      </c>
      <c r="AO6" s="5">
        <v>21182</v>
      </c>
      <c r="AP6" s="5">
        <v>16246</v>
      </c>
      <c r="AQ6" s="5">
        <v>319482</v>
      </c>
      <c r="AR6" s="2"/>
      <c r="AS6" s="5">
        <f t="shared" si="14"/>
        <v>960431</v>
      </c>
    </row>
    <row r="7" spans="1:45">
      <c r="A7">
        <v>2021</v>
      </c>
      <c r="B7" s="11">
        <v>51948</v>
      </c>
      <c r="C7" s="11">
        <v>253708</v>
      </c>
      <c r="D7" s="11">
        <v>537218</v>
      </c>
      <c r="E7" s="18">
        <f>VLOOKUP(A7,'% bcn'!A:B,2,FALSE)</f>
        <v>45.761020752641969</v>
      </c>
      <c r="F7" s="19">
        <f>VLOOKUP(A7,'% bcn'!A:D,3,FALSE)</f>
        <v>53.511878387724231</v>
      </c>
      <c r="G7" s="19">
        <f>VLOOKUP(A7,'% bcn'!A:D,4,FALSE)</f>
        <v>0.72710085963380167</v>
      </c>
      <c r="H7" s="22">
        <f t="shared" si="5"/>
        <v>245836.44046692815</v>
      </c>
      <c r="I7" s="22">
        <f t="shared" si="6"/>
        <v>287475.44283696433</v>
      </c>
      <c r="J7" s="22">
        <f t="shared" si="7"/>
        <v>3906.1166961075169</v>
      </c>
      <c r="K7" s="11">
        <v>54730</v>
      </c>
      <c r="L7" s="20">
        <f>VLOOKUP(A7,'% bcn'!A:J,5,FALSE)</f>
        <v>9.6809252940747843</v>
      </c>
      <c r="M7" s="20">
        <f>VLOOKUP(A7,'% bcn'!A:J,6,FALSE)</f>
        <v>89.616003909380922</v>
      </c>
      <c r="N7" s="20">
        <f>VLOOKUP(A7,'% bcn'!A:J,7,FALSE)</f>
        <v>0.70307079654429572</v>
      </c>
      <c r="O7" s="26">
        <f t="shared" si="0"/>
        <v>5298.37041344713</v>
      </c>
      <c r="P7" s="26">
        <f t="shared" si="1"/>
        <v>49046.838939604182</v>
      </c>
      <c r="Q7" s="26">
        <f t="shared" si="2"/>
        <v>384.79064694869305</v>
      </c>
      <c r="R7" s="11">
        <v>37173</v>
      </c>
      <c r="S7" s="14">
        <f>VLOOKUP(bcn!A7,'% bcn'!A:J,8,FALSE)</f>
        <v>9.6809252940747861</v>
      </c>
      <c r="T7" s="14">
        <f>VLOOKUP(bcn!A7,'% bcn'!A:J,9,FALSE)</f>
        <v>89.616003909380936</v>
      </c>
      <c r="U7" s="14">
        <f>VLOOKUP(bcn!A7,'% bcn'!A:J,10,FALSE)</f>
        <v>0.70307079654428151</v>
      </c>
      <c r="V7" s="22">
        <f t="shared" si="8"/>
        <v>3598.6903595664203</v>
      </c>
      <c r="W7" s="22">
        <f t="shared" si="9"/>
        <v>33312.957133234173</v>
      </c>
      <c r="X7" s="22">
        <f t="shared" si="10"/>
        <v>261.35250719940575</v>
      </c>
      <c r="Y7" s="11">
        <v>955741</v>
      </c>
      <c r="Z7" s="15">
        <f t="shared" si="11"/>
        <v>934130.85684585187</v>
      </c>
      <c r="AA7" s="3">
        <v>955741</v>
      </c>
      <c r="AB7" s="3">
        <f t="shared" si="3"/>
        <v>21610.143154148129</v>
      </c>
      <c r="AC7" s="3">
        <f t="shared" si="12"/>
        <v>254733.50123994169</v>
      </c>
      <c r="AD7" s="3">
        <f t="shared" si="4"/>
        <v>369835.23890980269</v>
      </c>
      <c r="AE7" s="3"/>
      <c r="AF7" s="4">
        <v>665131</v>
      </c>
      <c r="AG7" s="4">
        <v>258379</v>
      </c>
      <c r="AH7" s="4">
        <v>18458</v>
      </c>
      <c r="AI7" s="4">
        <v>3265</v>
      </c>
      <c r="AJ7" s="4">
        <v>1</v>
      </c>
      <c r="AK7" s="4">
        <v>2108</v>
      </c>
      <c r="AL7" s="15">
        <f t="shared" si="13"/>
        <v>947342</v>
      </c>
      <c r="AM7" s="5">
        <v>219349</v>
      </c>
      <c r="AN7" s="5">
        <v>384860</v>
      </c>
      <c r="AO7" s="5">
        <v>27355</v>
      </c>
      <c r="AP7" s="5">
        <v>18919</v>
      </c>
      <c r="AQ7" s="5">
        <v>296859</v>
      </c>
      <c r="AR7" s="2"/>
      <c r="AS7" s="5">
        <f t="shared" si="14"/>
        <v>947342</v>
      </c>
    </row>
    <row r="8" spans="1:45">
      <c r="A8">
        <v>2022</v>
      </c>
      <c r="B8" s="11">
        <v>48934</v>
      </c>
      <c r="C8" s="11">
        <v>255279</v>
      </c>
      <c r="D8" s="11">
        <v>530352</v>
      </c>
      <c r="E8" s="18">
        <f>VLOOKUP(A8,'% bcn'!A:B,2,FALSE)</f>
        <v>46.5884580919125</v>
      </c>
      <c r="F8" s="19">
        <f>VLOOKUP(A8,'% bcn'!A:D,3,FALSE)</f>
        <v>52.515982322805215</v>
      </c>
      <c r="G8" s="19">
        <f>VLOOKUP(A8,'% bcn'!A:D,4,FALSE)</f>
        <v>0.89555958528228352</v>
      </c>
      <c r="H8" s="22">
        <f t="shared" si="5"/>
        <v>247082.81925961978</v>
      </c>
      <c r="I8" s="22">
        <f t="shared" si="6"/>
        <v>278519.56256864389</v>
      </c>
      <c r="J8" s="22">
        <f t="shared" si="7"/>
        <v>4749.6181717362961</v>
      </c>
      <c r="K8" s="11">
        <v>54250</v>
      </c>
      <c r="L8" s="20">
        <f>VLOOKUP(A8,'% bcn'!A:J,5,FALSE)</f>
        <v>9.7117910538341565</v>
      </c>
      <c r="M8" s="20">
        <f>VLOOKUP(A8,'% bcn'!A:J,6,FALSE)</f>
        <v>89.486603923336588</v>
      </c>
      <c r="N8" s="20">
        <f>VLOOKUP(A8,'% bcn'!A:J,7,FALSE)</f>
        <v>0.80160502282924995</v>
      </c>
      <c r="O8" s="26">
        <f t="shared" si="0"/>
        <v>5268.6466467050304</v>
      </c>
      <c r="P8" s="26">
        <f t="shared" si="1"/>
        <v>48546.482628410093</v>
      </c>
      <c r="Q8" s="26">
        <f t="shared" si="2"/>
        <v>434.87072488486808</v>
      </c>
      <c r="R8" s="11">
        <v>36073</v>
      </c>
      <c r="S8" s="14">
        <f>VLOOKUP(bcn!A8,'% bcn'!A:J,8,FALSE)</f>
        <v>9.7117910538341548</v>
      </c>
      <c r="T8" s="14">
        <f>VLOOKUP(bcn!A8,'% bcn'!A:J,9,FALSE)</f>
        <v>89.486603923336602</v>
      </c>
      <c r="U8" s="14">
        <f>VLOOKUP(bcn!A8,'% bcn'!A:J,10,FALSE)</f>
        <v>0.80160502282924995</v>
      </c>
      <c r="V8" s="22">
        <f t="shared" si="8"/>
        <v>3503.3343868495949</v>
      </c>
      <c r="W8" s="22">
        <f t="shared" si="9"/>
        <v>32280.502633265209</v>
      </c>
      <c r="X8" s="22">
        <f t="shared" si="10"/>
        <v>289.16297988519534</v>
      </c>
      <c r="Y8" s="11">
        <v>945796</v>
      </c>
      <c r="Z8" s="15">
        <f t="shared" si="11"/>
        <v>924163.96629522985</v>
      </c>
      <c r="AA8" s="3">
        <v>945796</v>
      </c>
      <c r="AB8" s="3">
        <f t="shared" si="3"/>
        <v>21632.033704770147</v>
      </c>
      <c r="AC8" s="3">
        <f t="shared" si="12"/>
        <v>255854.8002931744</v>
      </c>
      <c r="AD8" s="3">
        <f t="shared" si="4"/>
        <v>359346.54783031921</v>
      </c>
      <c r="AE8" s="3"/>
      <c r="AF8" s="4">
        <v>665458</v>
      </c>
      <c r="AG8" s="4">
        <v>246531</v>
      </c>
      <c r="AH8" s="4">
        <v>19607</v>
      </c>
      <c r="AI8" s="4">
        <v>3633</v>
      </c>
      <c r="AJ8" s="4">
        <v>2</v>
      </c>
      <c r="AK8" s="4">
        <v>2229</v>
      </c>
      <c r="AL8" s="15">
        <f t="shared" si="13"/>
        <v>937460</v>
      </c>
      <c r="AM8" s="5">
        <v>202712</v>
      </c>
      <c r="AN8" s="5">
        <v>396297</v>
      </c>
      <c r="AO8" s="5">
        <v>34453</v>
      </c>
      <c r="AP8" s="5">
        <v>20991</v>
      </c>
      <c r="AQ8" s="5">
        <v>283007</v>
      </c>
      <c r="AR8" s="2"/>
      <c r="AS8" s="5">
        <f t="shared" si="14"/>
        <v>937460</v>
      </c>
    </row>
    <row r="9" spans="1:45">
      <c r="A9">
        <v>2023</v>
      </c>
      <c r="B9" s="11">
        <v>45891</v>
      </c>
      <c r="C9" s="11">
        <v>258126</v>
      </c>
      <c r="D9" s="11">
        <v>516505</v>
      </c>
      <c r="E9" s="18">
        <f>VLOOKUP(A9,'% bcn'!A:B,2,FALSE)</f>
        <v>47.102083189879522</v>
      </c>
      <c r="F9" s="19">
        <f>VLOOKUP(A9,'% bcn'!A:D,3,FALSE)</f>
        <v>51.685644373215112</v>
      </c>
      <c r="G9" s="19">
        <f>VLOOKUP(A9,'% bcn'!A:D,4,FALSE)</f>
        <v>1.2122724369053668</v>
      </c>
      <c r="H9" s="22">
        <f t="shared" si="5"/>
        <v>243284.61477988723</v>
      </c>
      <c r="I9" s="22">
        <f t="shared" si="6"/>
        <v>266958.93746987474</v>
      </c>
      <c r="J9" s="22">
        <f t="shared" si="7"/>
        <v>6261.4477502380651</v>
      </c>
      <c r="K9" s="11">
        <v>54676</v>
      </c>
      <c r="L9" s="20">
        <f>VLOOKUP(A9,'% bcn'!A:J,5,FALSE)</f>
        <v>9.6417584991815648</v>
      </c>
      <c r="M9" s="20">
        <f>VLOOKUP(A9,'% bcn'!A:J,6,FALSE)</f>
        <v>89.411663928833036</v>
      </c>
      <c r="N9" s="20">
        <f>VLOOKUP(A9,'% bcn'!A:J,7,FALSE)</f>
        <v>0.94657757198540082</v>
      </c>
      <c r="O9" s="26">
        <f t="shared" si="0"/>
        <v>5271.7278770125122</v>
      </c>
      <c r="P9" s="26">
        <f t="shared" si="1"/>
        <v>48886.721369728752</v>
      </c>
      <c r="Q9" s="26">
        <f t="shared" si="2"/>
        <v>517.5507532587377</v>
      </c>
      <c r="R9" s="11">
        <v>35664</v>
      </c>
      <c r="S9" s="14">
        <f>VLOOKUP(bcn!A9,'% bcn'!A:J,8,FALSE)</f>
        <v>9.6417584991815595</v>
      </c>
      <c r="T9" s="14">
        <f>VLOOKUP(bcn!A9,'% bcn'!A:J,9,FALSE)</f>
        <v>89.411663928833022</v>
      </c>
      <c r="U9" s="14">
        <f>VLOOKUP(bcn!A9,'% bcn'!A:J,10,FALSE)</f>
        <v>0.94657757198541503</v>
      </c>
      <c r="V9" s="22">
        <f t="shared" si="8"/>
        <v>3438.6367511481117</v>
      </c>
      <c r="W9" s="22">
        <f t="shared" si="9"/>
        <v>31887.775823579006</v>
      </c>
      <c r="X9" s="22">
        <f t="shared" si="10"/>
        <v>337.58742527287836</v>
      </c>
      <c r="Y9" s="11">
        <v>932143</v>
      </c>
      <c r="Z9" s="15">
        <f t="shared" si="11"/>
        <v>910006.86182146845</v>
      </c>
      <c r="AA9" s="3">
        <v>932143</v>
      </c>
      <c r="AB9" s="3">
        <f t="shared" si="3"/>
        <v>22136.138178531546</v>
      </c>
      <c r="AC9" s="3">
        <f t="shared" si="12"/>
        <v>251994.97940804786</v>
      </c>
      <c r="AD9" s="3">
        <f t="shared" si="4"/>
        <v>347733.43466318247</v>
      </c>
      <c r="AE9" s="3"/>
      <c r="AF9" s="4">
        <v>657871</v>
      </c>
      <c r="AG9" s="4">
        <v>238707</v>
      </c>
      <c r="AH9" s="4">
        <v>20727</v>
      </c>
      <c r="AI9" s="4">
        <v>4229</v>
      </c>
      <c r="AJ9" s="4">
        <v>3</v>
      </c>
      <c r="AK9" s="4">
        <v>2198</v>
      </c>
      <c r="AL9" s="15">
        <f t="shared" si="13"/>
        <v>923735</v>
      </c>
      <c r="AM9" s="5">
        <v>188096</v>
      </c>
      <c r="AN9" s="5">
        <v>411171</v>
      </c>
      <c r="AO9" s="5">
        <v>43040</v>
      </c>
      <c r="AP9" s="5">
        <v>23498</v>
      </c>
      <c r="AQ9" s="5">
        <v>257930</v>
      </c>
      <c r="AR9" s="2"/>
      <c r="AS9" s="5">
        <f t="shared" si="14"/>
        <v>923735</v>
      </c>
    </row>
    <row r="10" spans="1:45">
      <c r="A10">
        <v>2024</v>
      </c>
      <c r="B10" s="11">
        <v>39704</v>
      </c>
      <c r="C10" s="11">
        <v>265363</v>
      </c>
      <c r="D10" s="11">
        <v>487258</v>
      </c>
      <c r="E10" s="18">
        <f>VLOOKUP(A10,'% bcn'!A:B,2,FALSE)</f>
        <v>47.277752951718533</v>
      </c>
      <c r="F10" s="19">
        <f>VLOOKUP(A10,'% bcn'!A:D,3,FALSE)</f>
        <v>51.118145153894915</v>
      </c>
      <c r="G10" s="19">
        <f>VLOOKUP(A10,'% bcn'!A:D,4,FALSE)</f>
        <v>1.6041018943865506</v>
      </c>
      <c r="H10" s="22">
        <f t="shared" si="5"/>
        <v>230364.63347748469</v>
      </c>
      <c r="I10" s="22">
        <f t="shared" si="6"/>
        <v>249077.25171396526</v>
      </c>
      <c r="J10" s="22">
        <f t="shared" si="7"/>
        <v>7816.1148085500181</v>
      </c>
      <c r="K10" s="11">
        <v>54812</v>
      </c>
      <c r="L10" s="20">
        <f>VLOOKUP(A10,'% bcn'!A:J,5,FALSE)</f>
        <v>9.6849869365140524</v>
      </c>
      <c r="M10" s="20">
        <f>VLOOKUP(A10,'% bcn'!A:J,6,FALSE)</f>
        <v>89.239435103926539</v>
      </c>
      <c r="N10" s="20">
        <f>VLOOKUP(A10,'% bcn'!A:J,7,FALSE)</f>
        <v>1.0755779595594106</v>
      </c>
      <c r="O10" s="26">
        <f t="shared" si="0"/>
        <v>5308.5350396420818</v>
      </c>
      <c r="P10" s="26">
        <f t="shared" si="1"/>
        <v>48913.919169164219</v>
      </c>
      <c r="Q10" s="26">
        <f t="shared" si="2"/>
        <v>589.54579119370419</v>
      </c>
      <c r="R10" s="11">
        <v>35245</v>
      </c>
      <c r="S10" s="14">
        <f>VLOOKUP(bcn!A10,'% bcn'!A:J,8,FALSE)</f>
        <v>9.6849869365140506</v>
      </c>
      <c r="T10" s="14">
        <f>VLOOKUP(bcn!A10,'% bcn'!A:J,9,FALSE)</f>
        <v>89.239435103926539</v>
      </c>
      <c r="U10" s="14">
        <f>VLOOKUP(bcn!A10,'% bcn'!A:J,10,FALSE)</f>
        <v>1.0755779595594106</v>
      </c>
      <c r="V10" s="22">
        <f t="shared" si="8"/>
        <v>3413.473645774377</v>
      </c>
      <c r="W10" s="22">
        <f t="shared" si="9"/>
        <v>31452.438902378908</v>
      </c>
      <c r="X10" s="22">
        <f t="shared" si="10"/>
        <v>379.08745184671426</v>
      </c>
      <c r="Y10" s="11">
        <v>904004</v>
      </c>
      <c r="Z10" s="15">
        <f t="shared" si="11"/>
        <v>881413.36675695959</v>
      </c>
      <c r="AA10" s="3">
        <v>904004</v>
      </c>
      <c r="AB10" s="3">
        <f t="shared" si="3"/>
        <v>22590.633243040415</v>
      </c>
      <c r="AC10" s="3">
        <f t="shared" si="12"/>
        <v>239086.64216290115</v>
      </c>
      <c r="AD10" s="3">
        <f t="shared" si="4"/>
        <v>329443.60978550836</v>
      </c>
      <c r="AE10" s="3"/>
      <c r="AF10" s="4">
        <v>634726</v>
      </c>
      <c r="AG10" s="4">
        <v>230445</v>
      </c>
      <c r="AH10" s="4">
        <v>23299</v>
      </c>
      <c r="AI10" s="4">
        <v>5035</v>
      </c>
      <c r="AJ10" s="4">
        <v>2</v>
      </c>
      <c r="AK10" s="4">
        <v>2105</v>
      </c>
      <c r="AL10" s="15">
        <f t="shared" si="13"/>
        <v>895612</v>
      </c>
      <c r="AM10" s="5">
        <v>174084</v>
      </c>
      <c r="AN10" s="5">
        <v>423896</v>
      </c>
      <c r="AO10" s="5">
        <v>52320</v>
      </c>
      <c r="AP10" s="5">
        <v>27413</v>
      </c>
      <c r="AQ10" s="5">
        <v>217899</v>
      </c>
      <c r="AR10" s="2"/>
      <c r="AS10" s="5">
        <f t="shared" si="14"/>
        <v>895612</v>
      </c>
    </row>
    <row r="11" spans="1:45">
      <c r="X11" s="15"/>
      <c r="Y11" s="4"/>
      <c r="Z11" s="4"/>
      <c r="AA11" s="3"/>
      <c r="AB11" s="3"/>
      <c r="AC11" s="3"/>
      <c r="AD11" s="3"/>
      <c r="AE11" s="3"/>
      <c r="AF11" s="4"/>
      <c r="AG11" s="4"/>
      <c r="AH11" s="4"/>
      <c r="AI11" s="4"/>
      <c r="AJ11" s="4"/>
      <c r="AK11" s="4"/>
      <c r="AS11" s="4"/>
    </row>
    <row r="12" spans="1:45">
      <c r="O12" s="4"/>
      <c r="Z12" s="4"/>
    </row>
    <row r="13" spans="1:45">
      <c r="L13" s="24"/>
      <c r="Y13" s="4"/>
    </row>
    <row r="15" spans="1:45">
      <c r="H15" s="4"/>
    </row>
    <row r="16" spans="1:45">
      <c r="V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960C-BBC4-4573-A840-D51162F9A5C0}">
  <dimension ref="A1:J36"/>
  <sheetViews>
    <sheetView workbookViewId="0">
      <selection activeCell="M9" sqref="M9"/>
    </sheetView>
  </sheetViews>
  <sheetFormatPr baseColWidth="10" defaultRowHeight="14.4"/>
  <cols>
    <col min="1" max="1" width="12.44140625" bestFit="1" customWidth="1"/>
    <col min="2" max="2" width="21.33203125" style="10" bestFit="1" customWidth="1"/>
    <col min="3" max="4" width="18.88671875" style="10" bestFit="1" customWidth="1"/>
  </cols>
  <sheetData>
    <row r="1" spans="1:10" ht="38.4">
      <c r="A1" s="6" t="s">
        <v>20</v>
      </c>
      <c r="B1" s="7" t="s">
        <v>21</v>
      </c>
      <c r="C1" s="7" t="s">
        <v>22</v>
      </c>
      <c r="D1" s="7" t="s">
        <v>23</v>
      </c>
      <c r="E1" s="12" t="s">
        <v>25</v>
      </c>
      <c r="F1" s="12" t="s">
        <v>26</v>
      </c>
      <c r="G1" s="12" t="s">
        <v>37</v>
      </c>
      <c r="H1" s="12" t="s">
        <v>27</v>
      </c>
      <c r="I1" s="12" t="s">
        <v>28</v>
      </c>
      <c r="J1" s="12" t="s">
        <v>38</v>
      </c>
    </row>
    <row r="2" spans="1:10">
      <c r="A2" s="8">
        <v>1990</v>
      </c>
      <c r="B2" s="9">
        <v>89.823419175633816</v>
      </c>
      <c r="C2" s="9">
        <v>10.176580824366185</v>
      </c>
      <c r="D2" s="9">
        <v>0</v>
      </c>
      <c r="E2" s="10"/>
      <c r="F2" s="10"/>
      <c r="G2" s="10"/>
      <c r="H2" s="10"/>
      <c r="I2" s="10"/>
      <c r="J2" s="10"/>
    </row>
    <row r="3" spans="1:10">
      <c r="A3" s="8">
        <v>1991</v>
      </c>
      <c r="B3" s="9">
        <v>89.491388717597275</v>
      </c>
      <c r="C3" s="9">
        <v>10.508611282402731</v>
      </c>
      <c r="D3" s="9">
        <v>0</v>
      </c>
      <c r="E3" s="10"/>
      <c r="F3" s="10"/>
      <c r="G3" s="10"/>
      <c r="H3" s="10"/>
      <c r="I3" s="10"/>
      <c r="J3" s="10"/>
    </row>
    <row r="4" spans="1:10">
      <c r="A4" s="8">
        <v>1992</v>
      </c>
      <c r="B4" s="9">
        <v>88.844556502930601</v>
      </c>
      <c r="C4" s="9">
        <v>11.155443497069404</v>
      </c>
      <c r="D4" s="9">
        <v>0</v>
      </c>
      <c r="E4" s="10"/>
      <c r="F4" s="10"/>
      <c r="G4" s="10"/>
      <c r="H4" s="10"/>
      <c r="I4" s="10"/>
      <c r="J4" s="10"/>
    </row>
    <row r="5" spans="1:10">
      <c r="A5" s="8">
        <v>1993</v>
      </c>
      <c r="B5" s="9">
        <v>88.080511318835178</v>
      </c>
      <c r="C5" s="9">
        <v>11.919488681164827</v>
      </c>
      <c r="D5" s="9">
        <v>0</v>
      </c>
      <c r="E5" s="10"/>
      <c r="F5" s="10"/>
      <c r="G5" s="10"/>
      <c r="H5" s="10"/>
      <c r="I5" s="10"/>
      <c r="J5" s="10"/>
    </row>
    <row r="6" spans="1:10">
      <c r="A6" s="8">
        <v>1994</v>
      </c>
      <c r="B6" s="9">
        <v>86.848149899437843</v>
      </c>
      <c r="C6" s="9">
        <v>13.151850100562161</v>
      </c>
      <c r="D6" s="9">
        <v>0</v>
      </c>
      <c r="E6" s="10"/>
      <c r="F6" s="10"/>
      <c r="G6" s="10"/>
      <c r="H6" s="10"/>
      <c r="I6" s="10"/>
      <c r="J6" s="10"/>
    </row>
    <row r="7" spans="1:10">
      <c r="A7" s="8">
        <v>1995</v>
      </c>
      <c r="B7" s="9">
        <v>85.511620636803755</v>
      </c>
      <c r="C7" s="9">
        <v>14.488379363196238</v>
      </c>
      <c r="D7" s="9">
        <v>0</v>
      </c>
      <c r="E7" s="10"/>
      <c r="F7" s="10"/>
      <c r="G7" s="10"/>
      <c r="H7" s="10"/>
      <c r="I7" s="10"/>
      <c r="J7" s="10"/>
    </row>
    <row r="8" spans="1:10">
      <c r="A8" s="8">
        <v>1996</v>
      </c>
      <c r="B8" s="9">
        <v>83.791629673394851</v>
      </c>
      <c r="C8" s="9">
        <v>16.208370326605149</v>
      </c>
      <c r="D8" s="9">
        <v>0</v>
      </c>
      <c r="E8" s="10"/>
      <c r="F8" s="10"/>
      <c r="G8" s="10"/>
      <c r="H8" s="10"/>
      <c r="I8" s="10"/>
      <c r="J8" s="10"/>
    </row>
    <row r="9" spans="1:10">
      <c r="A9" s="8">
        <v>1997</v>
      </c>
      <c r="B9" s="9">
        <v>81.65204388781703</v>
      </c>
      <c r="C9" s="9">
        <v>18.347956112182974</v>
      </c>
      <c r="D9" s="9">
        <v>0</v>
      </c>
      <c r="E9" s="10"/>
      <c r="F9" s="10"/>
      <c r="G9" s="10"/>
      <c r="H9" s="10"/>
      <c r="I9" s="10"/>
      <c r="J9" s="10"/>
    </row>
    <row r="10" spans="1:10">
      <c r="A10" s="8">
        <v>1998</v>
      </c>
      <c r="B10" s="9">
        <v>79.010373608018966</v>
      </c>
      <c r="C10" s="9">
        <v>20.989626391981037</v>
      </c>
      <c r="D10" s="9">
        <v>0</v>
      </c>
      <c r="E10" s="10"/>
      <c r="F10" s="10"/>
      <c r="G10" s="10"/>
      <c r="H10" s="10"/>
      <c r="I10" s="10"/>
      <c r="J10" s="10"/>
    </row>
    <row r="11" spans="1:10">
      <c r="A11" s="8">
        <v>1999</v>
      </c>
      <c r="B11" s="9">
        <v>75.99380485899394</v>
      </c>
      <c r="C11" s="9">
        <v>24.006195141006057</v>
      </c>
      <c r="D11" s="9">
        <v>0</v>
      </c>
      <c r="E11" s="10"/>
      <c r="F11" s="10"/>
      <c r="G11" s="10"/>
      <c r="H11" s="10"/>
      <c r="I11" s="10"/>
      <c r="J11" s="10"/>
    </row>
    <row r="12" spans="1:10">
      <c r="A12" s="8">
        <v>2000</v>
      </c>
      <c r="B12" s="9">
        <v>73.051746967703735</v>
      </c>
      <c r="C12" s="9">
        <v>26.948253032296257</v>
      </c>
      <c r="D12" s="9">
        <v>0</v>
      </c>
      <c r="E12" s="10"/>
      <c r="F12" s="10"/>
      <c r="G12" s="10"/>
      <c r="H12" s="10"/>
      <c r="I12" s="10"/>
      <c r="J12" s="10"/>
    </row>
    <row r="13" spans="1:10">
      <c r="A13" s="8">
        <v>2001</v>
      </c>
      <c r="B13" s="9">
        <v>70.496499343282537</v>
      </c>
      <c r="C13" s="9">
        <v>29.50350065671747</v>
      </c>
      <c r="D13" s="9">
        <v>0</v>
      </c>
      <c r="E13" s="10"/>
      <c r="F13" s="10"/>
      <c r="G13" s="10"/>
      <c r="H13" s="10"/>
      <c r="I13" s="10"/>
      <c r="J13" s="10"/>
    </row>
    <row r="14" spans="1:10">
      <c r="A14" s="8">
        <v>2002</v>
      </c>
      <c r="B14" s="9">
        <v>67.949410419208576</v>
      </c>
      <c r="C14" s="9">
        <v>32.050589580791424</v>
      </c>
      <c r="D14" s="9">
        <v>0</v>
      </c>
      <c r="E14" s="10"/>
      <c r="F14" s="10"/>
      <c r="G14" s="10"/>
      <c r="H14" s="10"/>
      <c r="I14" s="10"/>
      <c r="J14" s="10"/>
    </row>
    <row r="15" spans="1:10">
      <c r="A15" s="8">
        <v>2003</v>
      </c>
      <c r="B15" s="9">
        <v>64.724255577815455</v>
      </c>
      <c r="C15" s="9">
        <v>35.275744422184552</v>
      </c>
      <c r="D15" s="9">
        <v>0</v>
      </c>
      <c r="E15" s="10"/>
      <c r="F15" s="10"/>
      <c r="G15" s="10"/>
      <c r="H15" s="10"/>
      <c r="I15" s="10"/>
      <c r="J15" s="10"/>
    </row>
    <row r="16" spans="1:10">
      <c r="A16" s="8">
        <v>2004</v>
      </c>
      <c r="B16" s="9">
        <v>61.586058236453553</v>
      </c>
      <c r="C16" s="9">
        <v>38.413941763546447</v>
      </c>
      <c r="D16" s="9">
        <v>0</v>
      </c>
      <c r="E16" s="10"/>
      <c r="F16" s="10"/>
      <c r="G16" s="10"/>
      <c r="H16" s="10"/>
      <c r="I16" s="10"/>
      <c r="J16" s="10"/>
    </row>
    <row r="17" spans="1:10">
      <c r="A17" s="8">
        <v>2005</v>
      </c>
      <c r="B17" s="9">
        <v>58.347812487639118</v>
      </c>
      <c r="C17" s="9">
        <v>41.652187512360882</v>
      </c>
      <c r="D17" s="9">
        <v>0</v>
      </c>
      <c r="E17" s="23">
        <v>15.36834648182664</v>
      </c>
      <c r="F17" s="23">
        <v>84.631653518173366</v>
      </c>
      <c r="G17" s="10">
        <v>0</v>
      </c>
      <c r="H17" s="9">
        <v>15.368346481826638</v>
      </c>
      <c r="I17" s="9">
        <v>84.631653518173366</v>
      </c>
      <c r="J17" s="10">
        <v>0</v>
      </c>
    </row>
    <row r="18" spans="1:10">
      <c r="A18" s="8">
        <v>2006</v>
      </c>
      <c r="B18" s="9">
        <v>55.420497812166211</v>
      </c>
      <c r="C18" s="9">
        <v>44.556502608542743</v>
      </c>
      <c r="D18" s="9">
        <v>2.2999579291049607E-2</v>
      </c>
      <c r="E18" s="23">
        <v>14.188625972123251</v>
      </c>
      <c r="F18" s="23">
        <v>85.803777684141579</v>
      </c>
      <c r="G18" s="10">
        <v>7.59634373517315E-3</v>
      </c>
      <c r="H18" s="9">
        <v>14.188625972123251</v>
      </c>
      <c r="I18" s="9">
        <v>85.803777684141593</v>
      </c>
      <c r="J18" s="10">
        <v>7.5963437351589391E-3</v>
      </c>
    </row>
    <row r="19" spans="1:10">
      <c r="A19" s="8">
        <v>2007</v>
      </c>
      <c r="B19" s="9">
        <v>52.850326472573244</v>
      </c>
      <c r="C19" s="9">
        <v>47.129356594299288</v>
      </c>
      <c r="D19" s="9">
        <v>2.0316933127464881E-2</v>
      </c>
      <c r="E19" s="23">
        <v>13.151380017764511</v>
      </c>
      <c r="F19" s="23">
        <v>86.83685089598734</v>
      </c>
      <c r="G19" s="10">
        <v>1.1769086248150984E-2</v>
      </c>
      <c r="H19" s="9">
        <v>13.151380017764513</v>
      </c>
      <c r="I19" s="9">
        <v>86.83685089598734</v>
      </c>
      <c r="J19" s="10">
        <v>1.1769086248150984E-2</v>
      </c>
    </row>
    <row r="20" spans="1:10">
      <c r="A20" s="8">
        <v>2008</v>
      </c>
      <c r="B20" s="9">
        <v>51.227918403147491</v>
      </c>
      <c r="C20" s="9">
        <v>48.753432095313492</v>
      </c>
      <c r="D20" s="9">
        <v>1.8649501539012861E-2</v>
      </c>
      <c r="E20" s="23">
        <v>12.579265242856666</v>
      </c>
      <c r="F20" s="23">
        <v>87.407696015903795</v>
      </c>
      <c r="G20" s="10">
        <v>1.3038741239540741E-2</v>
      </c>
      <c r="H20" s="9">
        <v>12.579265242856668</v>
      </c>
      <c r="I20" s="9">
        <v>87.407696015903795</v>
      </c>
      <c r="J20" s="10">
        <v>1.3038741239540741E-2</v>
      </c>
    </row>
    <row r="21" spans="1:10">
      <c r="A21" s="8">
        <v>2009</v>
      </c>
      <c r="B21" s="9">
        <v>49.585654867733666</v>
      </c>
      <c r="C21" s="9">
        <v>50.397077624407594</v>
      </c>
      <c r="D21" s="9">
        <v>1.7267507858740323E-2</v>
      </c>
      <c r="E21" s="23">
        <v>12.176945898282279</v>
      </c>
      <c r="F21" s="23">
        <v>87.798931275059815</v>
      </c>
      <c r="G21" s="10">
        <v>2.4122826657901442E-2</v>
      </c>
      <c r="H21" s="9">
        <v>12.176945898282275</v>
      </c>
      <c r="I21" s="9">
        <v>87.798931275059786</v>
      </c>
      <c r="J21" s="10">
        <v>2.4122826657944074E-2</v>
      </c>
    </row>
    <row r="22" spans="1:10">
      <c r="A22" s="8">
        <v>2010</v>
      </c>
      <c r="B22" s="9">
        <v>48.208712919836614</v>
      </c>
      <c r="C22" s="9">
        <v>51.774987238940092</v>
      </c>
      <c r="D22" s="9">
        <v>1.6299841223291797E-2</v>
      </c>
      <c r="E22" s="23">
        <v>11.811233586338505</v>
      </c>
      <c r="F22" s="23">
        <v>88.155106407156765</v>
      </c>
      <c r="G22" s="10">
        <v>3.366000650473211E-2</v>
      </c>
      <c r="H22" s="9">
        <v>11.811233586338505</v>
      </c>
      <c r="I22" s="9">
        <v>88.155106407156765</v>
      </c>
      <c r="J22" s="10">
        <v>3.366000650473211E-2</v>
      </c>
    </row>
    <row r="23" spans="1:10">
      <c r="A23" s="8">
        <v>2011</v>
      </c>
      <c r="B23" s="9">
        <v>47.178690505881249</v>
      </c>
      <c r="C23" s="9">
        <v>52.80390608461262</v>
      </c>
      <c r="D23" s="9">
        <v>1.740340950613101E-2</v>
      </c>
      <c r="E23" s="23">
        <v>11.500869090515081</v>
      </c>
      <c r="F23" s="23">
        <v>88.340904529119129</v>
      </c>
      <c r="G23" s="10">
        <v>0.15822638036578951</v>
      </c>
      <c r="H23" s="9">
        <v>11.500869090515081</v>
      </c>
      <c r="I23" s="9">
        <v>88.340904529119115</v>
      </c>
      <c r="J23" s="10">
        <v>0.15822638036580372</v>
      </c>
    </row>
    <row r="24" spans="1:10">
      <c r="A24" s="8">
        <v>2012</v>
      </c>
      <c r="B24" s="9">
        <v>46.320260839766107</v>
      </c>
      <c r="C24" s="9">
        <v>53.657956964926619</v>
      </c>
      <c r="D24" s="9">
        <v>2.1782195307271893E-2</v>
      </c>
      <c r="E24" s="23">
        <v>11.40659398859154</v>
      </c>
      <c r="F24" s="23">
        <v>88.547084471310541</v>
      </c>
      <c r="G24" s="10">
        <v>4.6321540097920888E-2</v>
      </c>
      <c r="H24" s="9">
        <v>11.40659398859154</v>
      </c>
      <c r="I24" s="9">
        <v>88.547084471310527</v>
      </c>
      <c r="J24" s="10">
        <v>4.6321540097935099E-2</v>
      </c>
    </row>
    <row r="25" spans="1:10">
      <c r="A25" s="8">
        <v>2013</v>
      </c>
      <c r="B25" s="9">
        <v>45.205524855958387</v>
      </c>
      <c r="C25" s="9">
        <v>54.76437689635079</v>
      </c>
      <c r="D25" s="9">
        <v>3.0098247690825568E-2</v>
      </c>
      <c r="E25" s="23">
        <v>11.08475509846641</v>
      </c>
      <c r="F25" s="23">
        <v>88.861616679134229</v>
      </c>
      <c r="G25" s="10">
        <v>5.3628222399368042E-2</v>
      </c>
      <c r="H25" s="9">
        <v>11.084755098466408</v>
      </c>
      <c r="I25" s="9">
        <v>88.861616679134215</v>
      </c>
      <c r="J25" s="10">
        <v>5.3628222399382253E-2</v>
      </c>
    </row>
    <row r="26" spans="1:10">
      <c r="A26" s="8">
        <v>2014</v>
      </c>
      <c r="B26" s="9">
        <v>44.012336723573362</v>
      </c>
      <c r="C26" s="9">
        <v>55.951734200921017</v>
      </c>
      <c r="D26" s="9">
        <v>3.592907550562173E-2</v>
      </c>
      <c r="E26" s="23">
        <v>10.646073011089612</v>
      </c>
      <c r="F26" s="23">
        <v>89.288155514100268</v>
      </c>
      <c r="G26" s="10">
        <v>6.5771474810119912E-2</v>
      </c>
      <c r="H26" s="9">
        <v>10.64607301108961</v>
      </c>
      <c r="I26" s="9">
        <v>89.288155514100268</v>
      </c>
      <c r="J26" s="10">
        <v>6.5771474810119912E-2</v>
      </c>
    </row>
    <row r="27" spans="1:10">
      <c r="A27" s="8">
        <v>2015</v>
      </c>
      <c r="B27" s="9">
        <v>43.289449075931884</v>
      </c>
      <c r="C27" s="9">
        <v>56.65383122552705</v>
      </c>
      <c r="D27" s="9">
        <v>5.6719698541064678E-2</v>
      </c>
      <c r="E27" s="23">
        <v>10.382894590930096</v>
      </c>
      <c r="F27" s="23">
        <v>89.530431506180136</v>
      </c>
      <c r="G27" s="10">
        <v>8.6673902889771171E-2</v>
      </c>
      <c r="H27" s="9">
        <v>10.382894590930094</v>
      </c>
      <c r="I27" s="9">
        <v>89.530431506180122</v>
      </c>
      <c r="J27" s="10">
        <v>8.6673902889785381E-2</v>
      </c>
    </row>
    <row r="28" spans="1:10">
      <c r="A28" s="8">
        <v>2016</v>
      </c>
      <c r="B28" s="9">
        <v>42.927944999372727</v>
      </c>
      <c r="C28" s="9">
        <v>56.99506006732576</v>
      </c>
      <c r="D28" s="9">
        <v>7.6994933301510748E-2</v>
      </c>
      <c r="E28" s="23">
        <v>10.153909842852107</v>
      </c>
      <c r="F28" s="23">
        <v>89.726753670473087</v>
      </c>
      <c r="G28" s="10">
        <v>0.11933648667481123</v>
      </c>
      <c r="H28" s="9">
        <v>10.153909842852107</v>
      </c>
      <c r="I28" s="9">
        <v>89.726753670473087</v>
      </c>
      <c r="J28" s="10">
        <v>0.11933648667481123</v>
      </c>
    </row>
    <row r="29" spans="1:10">
      <c r="A29" s="8">
        <v>2017</v>
      </c>
      <c r="B29" s="9">
        <v>42.989283459460971</v>
      </c>
      <c r="C29" s="9">
        <v>56.883620836938057</v>
      </c>
      <c r="D29" s="9">
        <v>0.12709570360097261</v>
      </c>
      <c r="E29" s="23">
        <v>9.9443676850085172</v>
      </c>
      <c r="F29" s="23">
        <v>89.888568854838582</v>
      </c>
      <c r="G29" s="10">
        <v>0.16706346015290308</v>
      </c>
      <c r="H29" s="9">
        <v>9.9443676850085172</v>
      </c>
      <c r="I29" s="9">
        <v>89.888568854838553</v>
      </c>
      <c r="J29" s="10">
        <v>0.1670634601529315</v>
      </c>
    </row>
    <row r="30" spans="1:10">
      <c r="A30" s="8">
        <v>2018</v>
      </c>
      <c r="B30" s="9">
        <v>43.647022069438712</v>
      </c>
      <c r="C30" s="9">
        <v>56.08314079279473</v>
      </c>
      <c r="D30" s="9">
        <v>0.26983713776656132</v>
      </c>
      <c r="E30" s="23">
        <v>9.8169792634319304</v>
      </c>
      <c r="F30" s="23">
        <v>89.904236393703883</v>
      </c>
      <c r="G30" s="10">
        <v>0.27878434286418496</v>
      </c>
      <c r="H30" s="9">
        <v>9.8169792634319304</v>
      </c>
      <c r="I30" s="9">
        <v>89.904236393703883</v>
      </c>
      <c r="J30" s="10">
        <v>0.27878434286418496</v>
      </c>
    </row>
    <row r="31" spans="1:10">
      <c r="A31" s="8">
        <v>2019</v>
      </c>
      <c r="B31" s="9">
        <v>44.54358203064843</v>
      </c>
      <c r="C31" s="9">
        <v>55.01292321734973</v>
      </c>
      <c r="D31" s="9">
        <v>0.44349475200184246</v>
      </c>
      <c r="E31" s="23">
        <v>9.7463044557855465</v>
      </c>
      <c r="F31" s="23">
        <v>89.801001719905585</v>
      </c>
      <c r="G31" s="10">
        <v>0.45269382430886651</v>
      </c>
      <c r="H31" s="9">
        <v>9.7463044557855483</v>
      </c>
      <c r="I31" s="9">
        <v>89.801001719905599</v>
      </c>
      <c r="J31" s="10">
        <v>0.4526938243088523</v>
      </c>
    </row>
    <row r="32" spans="1:10">
      <c r="A32" s="8">
        <v>2020</v>
      </c>
      <c r="B32" s="9">
        <v>45.017558433101115</v>
      </c>
      <c r="C32" s="9">
        <v>54.420578990130558</v>
      </c>
      <c r="D32" s="9">
        <v>0.56186257676833073</v>
      </c>
      <c r="E32" s="23">
        <v>9.708767390184752</v>
      </c>
      <c r="F32" s="23">
        <v>89.739763665821428</v>
      </c>
      <c r="G32" s="10">
        <v>0.55146894399382518</v>
      </c>
      <c r="H32" s="9">
        <v>9.7087673901847502</v>
      </c>
      <c r="I32" s="9">
        <v>89.739763665821428</v>
      </c>
      <c r="J32" s="10">
        <v>0.55146894399382518</v>
      </c>
    </row>
    <row r="33" spans="1:10">
      <c r="A33" s="8">
        <v>2021</v>
      </c>
      <c r="B33" s="9">
        <v>45.761020752641969</v>
      </c>
      <c r="C33" s="9">
        <v>53.511878387724231</v>
      </c>
      <c r="D33" s="9">
        <v>0.72710085963380167</v>
      </c>
      <c r="E33" s="23">
        <v>9.6809252940747843</v>
      </c>
      <c r="F33" s="23">
        <v>89.616003909380922</v>
      </c>
      <c r="G33" s="10">
        <v>0.70307079654429572</v>
      </c>
      <c r="H33" s="9">
        <v>9.6809252940747861</v>
      </c>
      <c r="I33" s="9">
        <v>89.616003909380936</v>
      </c>
      <c r="J33" s="10">
        <v>0.70307079654428151</v>
      </c>
    </row>
    <row r="34" spans="1:10">
      <c r="A34" s="8">
        <v>2022</v>
      </c>
      <c r="B34" s="9">
        <v>46.5884580919125</v>
      </c>
      <c r="C34" s="9">
        <v>52.515982322805215</v>
      </c>
      <c r="D34" s="9">
        <v>0.89555958528228352</v>
      </c>
      <c r="E34" s="23">
        <v>9.7117910538341565</v>
      </c>
      <c r="F34" s="23">
        <v>89.486603923336588</v>
      </c>
      <c r="G34" s="10">
        <v>0.80160502282924995</v>
      </c>
      <c r="H34" s="9">
        <v>9.7117910538341548</v>
      </c>
      <c r="I34" s="9">
        <v>89.486603923336602</v>
      </c>
      <c r="J34" s="10">
        <v>0.80160502282924995</v>
      </c>
    </row>
    <row r="35" spans="1:10">
      <c r="A35" s="8">
        <v>2023</v>
      </c>
      <c r="B35" s="9">
        <v>47.102083189879522</v>
      </c>
      <c r="C35" s="9">
        <v>51.685644373215112</v>
      </c>
      <c r="D35" s="9">
        <v>1.2122724369053668</v>
      </c>
      <c r="E35" s="23">
        <v>9.6417584991815648</v>
      </c>
      <c r="F35" s="23">
        <v>89.411663928833036</v>
      </c>
      <c r="G35" s="10">
        <v>0.94657757198540082</v>
      </c>
      <c r="H35" s="9">
        <v>9.6417584991815595</v>
      </c>
      <c r="I35" s="9">
        <v>89.411663928833022</v>
      </c>
      <c r="J35" s="10">
        <v>0.94657757198541503</v>
      </c>
    </row>
    <row r="36" spans="1:10">
      <c r="A36" s="8">
        <v>2024</v>
      </c>
      <c r="B36" s="9">
        <v>47.277752951718533</v>
      </c>
      <c r="C36" s="9">
        <v>51.118145153894915</v>
      </c>
      <c r="D36" s="9">
        <v>1.6041018943865506</v>
      </c>
      <c r="E36" s="23">
        <v>9.6849869365140524</v>
      </c>
      <c r="F36" s="23">
        <v>89.239435103926539</v>
      </c>
      <c r="G36" s="10">
        <v>1.0755779595594106</v>
      </c>
      <c r="H36" s="9">
        <v>9.6849869365140506</v>
      </c>
      <c r="I36" s="9">
        <v>89.239435103926539</v>
      </c>
      <c r="J36" s="10">
        <v>1.0755779595594106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bcn</vt:lpstr>
      <vt:lpstr>% bcn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2015-06-05T18:17:20Z</dcterms:created>
  <dcterms:modified xsi:type="dcterms:W3CDTF">2026-01-29T10:55:04Z</dcterms:modified>
</cp:coreProperties>
</file>