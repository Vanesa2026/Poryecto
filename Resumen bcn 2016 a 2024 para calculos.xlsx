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pere\Desktop\Especialitzacio\Proyecto\ORDENADOS\Evolucion coches\Datos generales municipales vehículos\"/>
    </mc:Choice>
  </mc:AlternateContent>
  <xr:revisionPtr revIDLastSave="0" documentId="13_ncr:1_{43517C23-C90E-4619-AD62-AA144F788884}" xr6:coauthVersionLast="47" xr6:coauthVersionMax="47" xr10:uidLastSave="{00000000-0000-0000-0000-000000000000}"/>
  <bookViews>
    <workbookView xWindow="-108" yWindow="-108" windowWidth="23256" windowHeight="12456" activeTab="2" xr2:uid="{19F634C0-7EED-4DB5-8E27-4D02ADDD5637}"/>
  </bookViews>
  <sheets>
    <sheet name="resumen" sheetId="3" r:id="rId1"/>
    <sheet name="Hoja1" sheetId="9" r:id="rId2"/>
    <sheet name="origen" sheetId="1" r:id="rId3"/>
    <sheet name="distintivos" sheetId="2" r:id="rId4"/>
    <sheet name="antiguedad media" sheetId="8" r:id="rId5"/>
    <sheet name="camiones por antiguedad" sheetId="7" r:id="rId6"/>
    <sheet name="furgonetas por antiguedad" sheetId="6" r:id="rId7"/>
    <sheet name="turismos por antiguedad" sheetId="5" r:id="rId8"/>
    <sheet name="motocicletas por año" sheetId="4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4" i="3" l="1"/>
  <c r="T5" i="3"/>
  <c r="T6" i="3"/>
  <c r="T7" i="3"/>
  <c r="T8" i="3"/>
  <c r="T9" i="3"/>
  <c r="T10" i="3"/>
  <c r="T3" i="3"/>
</calcChain>
</file>

<file path=xl/sharedStrings.xml><?xml version="1.0" encoding="utf-8"?>
<sst xmlns="http://schemas.openxmlformats.org/spreadsheetml/2006/main" count="210" uniqueCount="63">
  <si>
    <t>Código INE</t>
  </si>
  <si>
    <t>Municipio</t>
  </si>
  <si>
    <t>Provincia</t>
  </si>
  <si>
    <t>Comunidad Autónoma</t>
  </si>
  <si>
    <t>Población Total</t>
  </si>
  <si>
    <t>Población Hombres</t>
  </si>
  <si>
    <t>Población Mujeres</t>
  </si>
  <si>
    <t>Conductores Hombres</t>
  </si>
  <si>
    <t>Conductoras Mujeres</t>
  </si>
  <si>
    <t>Censo Conductores</t>
  </si>
  <si>
    <t>Parque Ciclomotores</t>
  </si>
  <si>
    <t>Parque Motocicletas</t>
  </si>
  <si>
    <t>Parque Turismos</t>
  </si>
  <si>
    <t>Parque Furgonetas</t>
  </si>
  <si>
    <t>Parque Camiones</t>
  </si>
  <si>
    <t>Parque Total</t>
  </si>
  <si>
    <t>Motocicletas sin ITV (&lt;25 años)</t>
  </si>
  <si>
    <t>Turismos sin ITV (&lt;25 años)</t>
  </si>
  <si>
    <t>Resto de Vehículos sin ITV (&lt;25 años)</t>
  </si>
  <si>
    <t>Parque Ciclomotores (&lt;25 años)</t>
  </si>
  <si>
    <t>Parque Ciclomotores (&lt;15 años)</t>
  </si>
  <si>
    <t>Parque Ciclomotores (&lt;8 años)</t>
  </si>
  <si>
    <t>Parque Ciclomotores (&lt;4 años)</t>
  </si>
  <si>
    <t>Parque Motocicletas (&lt;25 años)</t>
  </si>
  <si>
    <t>Parque Motocicletas (&lt;15 años)</t>
  </si>
  <si>
    <t>Parque Motocicletas (&lt;8 años)</t>
  </si>
  <si>
    <t>Parque Motocicletas (&lt;4 años)</t>
  </si>
  <si>
    <t>Parque Turismos (&lt;25 años)</t>
  </si>
  <si>
    <t>Parque Turismos (&lt;15 años)</t>
  </si>
  <si>
    <t>Parque Turismos (&lt;8 años)</t>
  </si>
  <si>
    <t>Parque Turismos (&lt;4 años)</t>
  </si>
  <si>
    <t>Parque Furgonetas (&lt;25 años)</t>
  </si>
  <si>
    <t>Parque Furgonetas (&lt;15 años)</t>
  </si>
  <si>
    <t>Parque Furgonetas (&lt;8 años)</t>
  </si>
  <si>
    <t>Parque Furgonetas (&lt;4 años)</t>
  </si>
  <si>
    <t>Parque Camiones (&lt;25 años)</t>
  </si>
  <si>
    <t>Parque Camiones (&lt;15 años)</t>
  </si>
  <si>
    <t>Parque Camiones (&lt;8 años)</t>
  </si>
  <si>
    <t>Parque Camiones (&lt;4 años)</t>
  </si>
  <si>
    <t>Antigüedad Media del Parque (&lt;25 años)</t>
  </si>
  <si>
    <t>Antigüedad Media de Ciclomotores</t>
  </si>
  <si>
    <t>Antigüedad Media de Motocicletas</t>
  </si>
  <si>
    <t>Antigüedad Media de Turismos</t>
  </si>
  <si>
    <t>Antigüedad Media de Furgonetas</t>
  </si>
  <si>
    <t>Antigüedad Media de Camiones</t>
  </si>
  <si>
    <t>Gasolina</t>
  </si>
  <si>
    <t>Diesel</t>
  </si>
  <si>
    <t>Electrificado</t>
  </si>
  <si>
    <t>GLP (Gas Licuado del Petroleo)</t>
  </si>
  <si>
    <t>GNL (Gas Natural Licuado)</t>
  </si>
  <si>
    <t>Otros Tipos de Propulsión</t>
  </si>
  <si>
    <t>Distintivo B</t>
  </si>
  <si>
    <t>Distintivo C</t>
  </si>
  <si>
    <t>Distintivo ECO</t>
  </si>
  <si>
    <t>Distintivo 0</t>
  </si>
  <si>
    <t>Sin Distintivo</t>
  </si>
  <si>
    <t>Total Campañas</t>
  </si>
  <si>
    <t>Barcelona</t>
  </si>
  <si>
    <t>Cataluña</t>
  </si>
  <si>
    <t>08019</t>
  </si>
  <si>
    <t>Año</t>
  </si>
  <si>
    <t xml:space="preserve">total distintivos </t>
  </si>
  <si>
    <t>vehículo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</si>
</sst>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3" fontId="0" fillId="0" borderId="0" xfId="0" applyNumberFormat="1"/>
    <xf numFmtId="4" fontId="0" fillId="0" borderId="0" xfId="0" applyNumberFormat="1"/>
    <xf numFmtId="0" fontId="0" fillId="2" borderId="0" xfId="0" applyFill="1"/>
    <xf numFmtId="3" fontId="0" fillId="2" borderId="0" xfId="0" applyNumberFormat="1" applyFill="1"/>
    <xf numFmtId="0" fontId="0" fillId="3" borderId="0" xfId="0" applyFill="1"/>
    <xf numFmtId="3" fontId="0" fillId="3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36FE9-C5C9-4D8D-B773-3753EEE589FC}">
  <dimension ref="A1:T10"/>
  <sheetViews>
    <sheetView workbookViewId="0">
      <selection activeCell="I21" sqref="I21"/>
    </sheetView>
  </sheetViews>
  <sheetFormatPr baseColWidth="10" defaultRowHeight="14.4" x14ac:dyDescent="0.3"/>
  <cols>
    <col min="2" max="2" width="19.5546875" bestFit="1" customWidth="1"/>
    <col min="3" max="3" width="19.109375" bestFit="1" customWidth="1"/>
    <col min="4" max="4" width="15.6640625" bestFit="1" customWidth="1"/>
    <col min="5" max="5" width="17.6640625" bestFit="1" customWidth="1"/>
    <col min="6" max="6" width="16.5546875" bestFit="1" customWidth="1"/>
    <col min="7" max="7" width="12.109375" bestFit="1" customWidth="1"/>
    <col min="17" max="17" width="11" bestFit="1" customWidth="1"/>
    <col min="18" max="18" width="12.6640625" bestFit="1" customWidth="1"/>
  </cols>
  <sheetData>
    <row r="1" spans="1:20" x14ac:dyDescent="0.3">
      <c r="A1" t="s">
        <v>60</v>
      </c>
      <c r="B1" s="3" t="s">
        <v>10</v>
      </c>
      <c r="C1" s="3" t="s">
        <v>11</v>
      </c>
      <c r="D1" s="3" t="s">
        <v>12</v>
      </c>
      <c r="E1" s="3" t="s">
        <v>13</v>
      </c>
      <c r="F1" s="3" t="s">
        <v>14</v>
      </c>
      <c r="G1" s="3" t="s">
        <v>15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s="5" t="s">
        <v>51</v>
      </c>
      <c r="O1" s="5" t="s">
        <v>52</v>
      </c>
      <c r="P1" s="5" t="s">
        <v>53</v>
      </c>
      <c r="Q1" s="5" t="s">
        <v>54</v>
      </c>
      <c r="R1" s="5" t="s">
        <v>55</v>
      </c>
      <c r="S1" s="5" t="s">
        <v>56</v>
      </c>
      <c r="T1" s="5" t="s">
        <v>61</v>
      </c>
    </row>
    <row r="2" spans="1:20" x14ac:dyDescent="0.3">
      <c r="A2">
        <v>2016</v>
      </c>
      <c r="B2" s="4">
        <v>53067</v>
      </c>
      <c r="C2" s="4">
        <v>236755</v>
      </c>
      <c r="D2" s="4">
        <v>564613</v>
      </c>
      <c r="E2" s="4">
        <v>56441</v>
      </c>
      <c r="F2" s="4">
        <v>42865</v>
      </c>
      <c r="G2" s="4">
        <v>973593</v>
      </c>
      <c r="H2" s="1">
        <v>645630</v>
      </c>
      <c r="I2" s="1">
        <v>316279</v>
      </c>
      <c r="J2" s="1">
        <v>2387</v>
      </c>
      <c r="K2" s="1">
        <v>231</v>
      </c>
      <c r="L2" s="1">
        <v>1</v>
      </c>
      <c r="M2" s="1">
        <v>855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/>
      <c r="T2" s="5"/>
    </row>
    <row r="3" spans="1:20" x14ac:dyDescent="0.3">
      <c r="A3">
        <v>2017</v>
      </c>
      <c r="B3" s="4">
        <v>51824</v>
      </c>
      <c r="C3" s="4">
        <v>242229</v>
      </c>
      <c r="D3" s="4">
        <v>563923</v>
      </c>
      <c r="E3" s="4">
        <v>56348</v>
      </c>
      <c r="F3" s="4">
        <v>42359</v>
      </c>
      <c r="G3" s="4">
        <v>976675</v>
      </c>
      <c r="H3" s="1">
        <v>651250</v>
      </c>
      <c r="I3" s="1">
        <v>312136</v>
      </c>
      <c r="J3" s="1">
        <v>3742</v>
      </c>
      <c r="K3" s="1">
        <v>427</v>
      </c>
      <c r="L3" s="1">
        <v>1</v>
      </c>
      <c r="M3" s="1">
        <v>949</v>
      </c>
      <c r="N3" s="6">
        <v>264553</v>
      </c>
      <c r="O3" s="6">
        <v>266408</v>
      </c>
      <c r="P3" s="6">
        <v>8443</v>
      </c>
      <c r="Q3" s="6">
        <v>3044</v>
      </c>
      <c r="R3" s="6">
        <v>426058</v>
      </c>
      <c r="S3" s="5"/>
      <c r="T3" s="6">
        <f>+SUM(N3:R3)</f>
        <v>968506</v>
      </c>
    </row>
    <row r="4" spans="1:20" x14ac:dyDescent="0.3">
      <c r="A4">
        <v>2018</v>
      </c>
      <c r="B4" s="4">
        <v>51556</v>
      </c>
      <c r="C4" s="4">
        <v>247615</v>
      </c>
      <c r="D4" s="4">
        <v>560791</v>
      </c>
      <c r="E4" s="4">
        <v>56318</v>
      </c>
      <c r="F4" s="4">
        <v>41470</v>
      </c>
      <c r="G4" s="4">
        <v>978143</v>
      </c>
      <c r="H4" s="1">
        <v>657795</v>
      </c>
      <c r="I4" s="1">
        <v>302713</v>
      </c>
      <c r="J4" s="1">
        <v>6909</v>
      </c>
      <c r="K4" s="1">
        <v>1040</v>
      </c>
      <c r="L4" s="1">
        <v>0</v>
      </c>
      <c r="M4" s="1">
        <v>1354</v>
      </c>
      <c r="N4" s="6">
        <v>254551</v>
      </c>
      <c r="O4" s="6">
        <v>306681</v>
      </c>
      <c r="P4" s="6">
        <v>11866</v>
      </c>
      <c r="Q4" s="6">
        <v>6213</v>
      </c>
      <c r="R4" s="6">
        <v>390500</v>
      </c>
      <c r="S4" s="5"/>
      <c r="T4" s="6">
        <f t="shared" ref="T4:T10" si="0">+SUM(N4:R4)</f>
        <v>969811</v>
      </c>
    </row>
    <row r="5" spans="1:20" x14ac:dyDescent="0.3">
      <c r="A5">
        <v>2019</v>
      </c>
      <c r="B5" s="4">
        <v>51951</v>
      </c>
      <c r="C5" s="4">
        <v>251309</v>
      </c>
      <c r="D5" s="4">
        <v>553686</v>
      </c>
      <c r="E5" s="4">
        <v>55663</v>
      </c>
      <c r="F5" s="4">
        <v>40141</v>
      </c>
      <c r="G5" s="4">
        <v>973407</v>
      </c>
      <c r="H5" s="1">
        <v>664172</v>
      </c>
      <c r="I5" s="1">
        <v>286481</v>
      </c>
      <c r="J5" s="1">
        <v>10767</v>
      </c>
      <c r="K5" s="1">
        <v>1817</v>
      </c>
      <c r="L5" s="1">
        <v>0</v>
      </c>
      <c r="M5" s="1">
        <v>1758</v>
      </c>
      <c r="N5" s="6">
        <v>243630</v>
      </c>
      <c r="O5" s="6">
        <v>343055</v>
      </c>
      <c r="P5" s="6">
        <v>16361</v>
      </c>
      <c r="Q5" s="6">
        <v>10146</v>
      </c>
      <c r="R5" s="6">
        <v>351803</v>
      </c>
      <c r="S5" s="5"/>
      <c r="T5" s="6">
        <f t="shared" si="0"/>
        <v>964995</v>
      </c>
    </row>
    <row r="6" spans="1:20" x14ac:dyDescent="0.3">
      <c r="A6">
        <v>2020</v>
      </c>
      <c r="B6" s="4">
        <v>54136</v>
      </c>
      <c r="C6" s="4">
        <v>253170</v>
      </c>
      <c r="D6" s="4">
        <v>546170</v>
      </c>
      <c r="E6" s="4">
        <v>55584</v>
      </c>
      <c r="F6" s="4">
        <v>38959</v>
      </c>
      <c r="G6" s="4">
        <v>968884</v>
      </c>
      <c r="H6" s="1">
        <v>666759</v>
      </c>
      <c r="I6" s="1">
        <v>272798</v>
      </c>
      <c r="J6" s="1">
        <v>16510</v>
      </c>
      <c r="K6" s="1">
        <v>2430</v>
      </c>
      <c r="L6" s="1">
        <v>0</v>
      </c>
      <c r="M6" s="1">
        <v>1934</v>
      </c>
      <c r="N6" s="6">
        <v>235484</v>
      </c>
      <c r="O6" s="6">
        <v>368037</v>
      </c>
      <c r="P6" s="6">
        <v>21182</v>
      </c>
      <c r="Q6" s="6">
        <v>16246</v>
      </c>
      <c r="R6" s="6">
        <v>319482</v>
      </c>
      <c r="S6" s="5"/>
      <c r="T6" s="6">
        <f t="shared" si="0"/>
        <v>960431</v>
      </c>
    </row>
    <row r="7" spans="1:20" x14ac:dyDescent="0.3">
      <c r="A7">
        <v>2021</v>
      </c>
      <c r="B7" s="4">
        <v>51948</v>
      </c>
      <c r="C7" s="4">
        <v>253708</v>
      </c>
      <c r="D7" s="4">
        <v>537218</v>
      </c>
      <c r="E7" s="4">
        <v>54730</v>
      </c>
      <c r="F7" s="4">
        <v>37173</v>
      </c>
      <c r="G7" s="4">
        <v>955741</v>
      </c>
      <c r="H7" s="1">
        <v>665131</v>
      </c>
      <c r="I7" s="1">
        <v>258379</v>
      </c>
      <c r="J7" s="1">
        <v>18458</v>
      </c>
      <c r="K7" s="1">
        <v>3265</v>
      </c>
      <c r="L7" s="1">
        <v>1</v>
      </c>
      <c r="M7" s="1">
        <v>2108</v>
      </c>
      <c r="N7" s="6">
        <v>219349</v>
      </c>
      <c r="O7" s="6">
        <v>384860</v>
      </c>
      <c r="P7" s="6">
        <v>27355</v>
      </c>
      <c r="Q7" s="6">
        <v>18919</v>
      </c>
      <c r="R7" s="6">
        <v>296859</v>
      </c>
      <c r="S7" s="5"/>
      <c r="T7" s="6">
        <f t="shared" si="0"/>
        <v>947342</v>
      </c>
    </row>
    <row r="8" spans="1:20" x14ac:dyDescent="0.3">
      <c r="A8">
        <v>2022</v>
      </c>
      <c r="B8" s="4">
        <v>48934</v>
      </c>
      <c r="C8" s="4">
        <v>255279</v>
      </c>
      <c r="D8" s="4">
        <v>530352</v>
      </c>
      <c r="E8" s="4">
        <v>54250</v>
      </c>
      <c r="F8" s="4">
        <v>36073</v>
      </c>
      <c r="G8" s="4">
        <v>945796</v>
      </c>
      <c r="H8" s="1">
        <v>665458</v>
      </c>
      <c r="I8" s="1">
        <v>246531</v>
      </c>
      <c r="J8" s="1">
        <v>19607</v>
      </c>
      <c r="K8" s="1">
        <v>3633</v>
      </c>
      <c r="L8" s="1">
        <v>2</v>
      </c>
      <c r="M8" s="1">
        <v>2229</v>
      </c>
      <c r="N8" s="6">
        <v>202712</v>
      </c>
      <c r="O8" s="6">
        <v>396297</v>
      </c>
      <c r="P8" s="6">
        <v>34453</v>
      </c>
      <c r="Q8" s="6">
        <v>20991</v>
      </c>
      <c r="R8" s="6">
        <v>283007</v>
      </c>
      <c r="S8" s="5"/>
      <c r="T8" s="6">
        <f t="shared" si="0"/>
        <v>937460</v>
      </c>
    </row>
    <row r="9" spans="1:20" x14ac:dyDescent="0.3">
      <c r="A9">
        <v>2023</v>
      </c>
      <c r="B9" s="4">
        <v>45891</v>
      </c>
      <c r="C9" s="4">
        <v>258126</v>
      </c>
      <c r="D9" s="4">
        <v>516505</v>
      </c>
      <c r="E9" s="4">
        <v>54676</v>
      </c>
      <c r="F9" s="4">
        <v>35664</v>
      </c>
      <c r="G9" s="4">
        <v>932143</v>
      </c>
      <c r="H9" s="1">
        <v>657871</v>
      </c>
      <c r="I9" s="1">
        <v>238707</v>
      </c>
      <c r="J9" s="1">
        <v>20727</v>
      </c>
      <c r="K9" s="1">
        <v>4229</v>
      </c>
      <c r="L9" s="1">
        <v>3</v>
      </c>
      <c r="M9" s="1">
        <v>2198</v>
      </c>
      <c r="N9" s="6">
        <v>188096</v>
      </c>
      <c r="O9" s="6">
        <v>411171</v>
      </c>
      <c r="P9" s="6">
        <v>43040</v>
      </c>
      <c r="Q9" s="6">
        <v>23498</v>
      </c>
      <c r="R9" s="6">
        <v>257930</v>
      </c>
      <c r="S9" s="5"/>
      <c r="T9" s="6">
        <f t="shared" si="0"/>
        <v>923735</v>
      </c>
    </row>
    <row r="10" spans="1:20" x14ac:dyDescent="0.3">
      <c r="A10">
        <v>2024</v>
      </c>
      <c r="B10" s="4">
        <v>39704</v>
      </c>
      <c r="C10" s="4">
        <v>265363</v>
      </c>
      <c r="D10" s="4">
        <v>487258</v>
      </c>
      <c r="E10" s="4">
        <v>54812</v>
      </c>
      <c r="F10" s="4">
        <v>35245</v>
      </c>
      <c r="G10" s="4">
        <v>904004</v>
      </c>
      <c r="H10" s="1">
        <v>634726</v>
      </c>
      <c r="I10" s="1">
        <v>230445</v>
      </c>
      <c r="J10" s="1">
        <v>23299</v>
      </c>
      <c r="K10" s="1">
        <v>5035</v>
      </c>
      <c r="L10" s="1">
        <v>2</v>
      </c>
      <c r="M10" s="1">
        <v>2105</v>
      </c>
      <c r="N10" s="6">
        <v>174084</v>
      </c>
      <c r="O10" s="6">
        <v>423896</v>
      </c>
      <c r="P10" s="6">
        <v>52320</v>
      </c>
      <c r="Q10" s="6">
        <v>27413</v>
      </c>
      <c r="R10" s="6">
        <v>217899</v>
      </c>
      <c r="S10" s="5"/>
      <c r="T10" s="6">
        <f t="shared" si="0"/>
        <v>895612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55137-1D11-4625-B627-395336E42B9D}">
  <dimension ref="A1:J7"/>
  <sheetViews>
    <sheetView workbookViewId="0">
      <selection activeCell="G13" sqref="G13"/>
    </sheetView>
  </sheetViews>
  <sheetFormatPr baseColWidth="10" defaultRowHeight="14.4" x14ac:dyDescent="0.3"/>
  <cols>
    <col min="1" max="1" width="18.109375" bestFit="1" customWidth="1"/>
  </cols>
  <sheetData>
    <row r="1" spans="1:10" x14ac:dyDescent="0.3">
      <c r="A1" t="s">
        <v>62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</row>
    <row r="2" spans="1:10" x14ac:dyDescent="0.3">
      <c r="A2" s="3" t="s">
        <v>10</v>
      </c>
      <c r="B2" s="4">
        <v>53067</v>
      </c>
      <c r="C2" s="4">
        <v>51824</v>
      </c>
      <c r="D2" s="4">
        <v>51556</v>
      </c>
      <c r="E2" s="4">
        <v>51951</v>
      </c>
      <c r="F2" s="4">
        <v>54136</v>
      </c>
      <c r="G2" s="4">
        <v>51948</v>
      </c>
      <c r="H2" s="4">
        <v>48934</v>
      </c>
      <c r="I2" s="4">
        <v>45891</v>
      </c>
      <c r="J2" s="4">
        <v>39704</v>
      </c>
    </row>
    <row r="3" spans="1:10" x14ac:dyDescent="0.3">
      <c r="A3" s="3" t="s">
        <v>11</v>
      </c>
      <c r="B3" s="4">
        <v>236755</v>
      </c>
      <c r="C3" s="4">
        <v>242229</v>
      </c>
      <c r="D3" s="4">
        <v>247615</v>
      </c>
      <c r="E3" s="4">
        <v>251309</v>
      </c>
      <c r="F3" s="4">
        <v>253170</v>
      </c>
      <c r="G3" s="4">
        <v>253708</v>
      </c>
      <c r="H3" s="4">
        <v>255279</v>
      </c>
      <c r="I3" s="4">
        <v>258126</v>
      </c>
      <c r="J3" s="4">
        <v>265363</v>
      </c>
    </row>
    <row r="4" spans="1:10" x14ac:dyDescent="0.3">
      <c r="A4" s="3" t="s">
        <v>12</v>
      </c>
      <c r="B4" s="4">
        <v>564613</v>
      </c>
      <c r="C4" s="4">
        <v>563923</v>
      </c>
      <c r="D4" s="4">
        <v>560791</v>
      </c>
      <c r="E4" s="4">
        <v>553686</v>
      </c>
      <c r="F4" s="4">
        <v>546170</v>
      </c>
      <c r="G4" s="4">
        <v>537218</v>
      </c>
      <c r="H4" s="4">
        <v>530352</v>
      </c>
      <c r="I4" s="4">
        <v>516505</v>
      </c>
      <c r="J4" s="4">
        <v>487258</v>
      </c>
    </row>
    <row r="5" spans="1:10" x14ac:dyDescent="0.3">
      <c r="A5" s="3" t="s">
        <v>13</v>
      </c>
      <c r="B5" s="4">
        <v>56441</v>
      </c>
      <c r="C5" s="4">
        <v>56348</v>
      </c>
      <c r="D5" s="4">
        <v>56318</v>
      </c>
      <c r="E5" s="4">
        <v>55663</v>
      </c>
      <c r="F5" s="4">
        <v>55584</v>
      </c>
      <c r="G5" s="4">
        <v>54730</v>
      </c>
      <c r="H5" s="4">
        <v>54250</v>
      </c>
      <c r="I5" s="4">
        <v>54676</v>
      </c>
      <c r="J5" s="4">
        <v>54812</v>
      </c>
    </row>
    <row r="6" spans="1:10" x14ac:dyDescent="0.3">
      <c r="A6" s="3" t="s">
        <v>14</v>
      </c>
      <c r="B6" s="4">
        <v>42865</v>
      </c>
      <c r="C6" s="4">
        <v>42359</v>
      </c>
      <c r="D6" s="4">
        <v>41470</v>
      </c>
      <c r="E6" s="4">
        <v>40141</v>
      </c>
      <c r="F6" s="4">
        <v>38959</v>
      </c>
      <c r="G6" s="4">
        <v>37173</v>
      </c>
      <c r="H6" s="4">
        <v>36073</v>
      </c>
      <c r="I6" s="4">
        <v>35664</v>
      </c>
      <c r="J6" s="4">
        <v>35245</v>
      </c>
    </row>
    <row r="7" spans="1:10" x14ac:dyDescent="0.3">
      <c r="A7" s="3" t="s">
        <v>15</v>
      </c>
      <c r="B7" s="4">
        <v>973593</v>
      </c>
      <c r="C7" s="4">
        <v>976675</v>
      </c>
      <c r="D7" s="4">
        <v>978143</v>
      </c>
      <c r="E7" s="4">
        <v>973407</v>
      </c>
      <c r="F7" s="4">
        <v>968884</v>
      </c>
      <c r="G7" s="4">
        <v>955741</v>
      </c>
      <c r="H7" s="4">
        <v>945796</v>
      </c>
      <c r="I7" s="4">
        <v>932143</v>
      </c>
      <c r="J7" s="4">
        <v>904004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CACC1-5C9A-461F-8895-64A280B2B459}">
  <dimension ref="A1:BF21"/>
  <sheetViews>
    <sheetView tabSelected="1" workbookViewId="0">
      <selection activeCell="M19" sqref="M19"/>
    </sheetView>
  </sheetViews>
  <sheetFormatPr baseColWidth="10" defaultRowHeight="14.4" x14ac:dyDescent="0.3"/>
  <cols>
    <col min="11" max="11" width="18.109375" bestFit="1" customWidth="1"/>
    <col min="12" max="12" width="19.5546875" bestFit="1" customWidth="1"/>
    <col min="13" max="13" width="19.109375" bestFit="1" customWidth="1"/>
    <col min="14" max="14" width="15.6640625" bestFit="1" customWidth="1"/>
    <col min="15" max="15" width="17.6640625" bestFit="1" customWidth="1"/>
    <col min="16" max="16" width="16.5546875" bestFit="1" customWidth="1"/>
    <col min="17" max="17" width="12.109375" bestFit="1" customWidth="1"/>
    <col min="19" max="19" width="25" bestFit="1" customWidth="1"/>
    <col min="20" max="20" width="34" bestFit="1" customWidth="1"/>
    <col min="32" max="32" width="24.44140625" bestFit="1" customWidth="1"/>
    <col min="33" max="34" width="27.44140625" bestFit="1" customWidth="1"/>
    <col min="35" max="36" width="26.44140625" bestFit="1" customWidth="1"/>
    <col min="37" max="38" width="26.109375" bestFit="1" customWidth="1"/>
  </cols>
  <sheetData>
    <row r="1" spans="1:58" x14ac:dyDescent="0.3">
      <c r="A1" t="s">
        <v>60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</row>
    <row r="2" spans="1:58" x14ac:dyDescent="0.3">
      <c r="A2">
        <v>2016</v>
      </c>
      <c r="B2" t="s">
        <v>59</v>
      </c>
      <c r="C2" t="s">
        <v>57</v>
      </c>
      <c r="D2" t="s">
        <v>57</v>
      </c>
      <c r="E2" t="s">
        <v>58</v>
      </c>
      <c r="F2" s="1">
        <v>1608746</v>
      </c>
      <c r="G2" s="1">
        <v>761487</v>
      </c>
      <c r="H2" s="1">
        <v>847259</v>
      </c>
      <c r="I2" s="1">
        <v>463634</v>
      </c>
      <c r="J2" s="1">
        <v>336141</v>
      </c>
      <c r="K2" s="1">
        <v>799775</v>
      </c>
      <c r="L2" s="1">
        <v>53067</v>
      </c>
      <c r="M2" s="1">
        <v>236755</v>
      </c>
      <c r="N2" s="1">
        <v>564613</v>
      </c>
      <c r="O2" s="1">
        <v>56441</v>
      </c>
      <c r="P2" s="1">
        <v>42865</v>
      </c>
      <c r="Q2" s="1">
        <v>973593</v>
      </c>
      <c r="R2" s="1">
        <v>36950</v>
      </c>
      <c r="S2" s="1">
        <v>40896</v>
      </c>
      <c r="T2" s="1">
        <v>19500</v>
      </c>
      <c r="U2" s="1">
        <v>53003</v>
      </c>
      <c r="V2" s="1">
        <v>28860</v>
      </c>
      <c r="W2" s="1">
        <v>7425</v>
      </c>
      <c r="X2" s="1">
        <v>2887</v>
      </c>
      <c r="Y2" s="1">
        <v>184432</v>
      </c>
      <c r="Z2" s="1">
        <v>155453</v>
      </c>
      <c r="AA2" s="1">
        <v>82291</v>
      </c>
      <c r="AB2" s="1">
        <v>42791</v>
      </c>
      <c r="AC2" s="1">
        <v>455630</v>
      </c>
      <c r="AD2" s="1">
        <v>346314</v>
      </c>
      <c r="AE2" s="1">
        <v>160750</v>
      </c>
      <c r="AF2" s="1">
        <v>84385</v>
      </c>
      <c r="AG2" s="1">
        <v>39574</v>
      </c>
      <c r="AH2" s="1">
        <v>27674</v>
      </c>
      <c r="AI2" s="1">
        <v>12719</v>
      </c>
      <c r="AJ2" s="1">
        <v>6820</v>
      </c>
      <c r="AK2" s="1">
        <v>34588</v>
      </c>
      <c r="AL2" s="1">
        <v>26041</v>
      </c>
      <c r="AM2" s="1">
        <v>7832</v>
      </c>
      <c r="AN2" s="1">
        <v>3141</v>
      </c>
      <c r="AO2" s="2">
        <v>10.36715164128155</v>
      </c>
      <c r="AP2" s="2">
        <v>12.796012868410131</v>
      </c>
      <c r="AQ2" s="2">
        <v>9.0380549680582227</v>
      </c>
      <c r="AR2" s="2">
        <v>10.404121660333621</v>
      </c>
      <c r="AS2" s="2">
        <v>11.38404251554522</v>
      </c>
      <c r="AT2" s="2">
        <v>11.436889930013299</v>
      </c>
      <c r="AU2" s="1">
        <v>645630</v>
      </c>
      <c r="AV2" s="1">
        <v>316279</v>
      </c>
      <c r="AW2" s="1">
        <v>2387</v>
      </c>
      <c r="AX2" s="1">
        <v>231</v>
      </c>
      <c r="AY2" s="1">
        <v>1</v>
      </c>
      <c r="AZ2" s="1">
        <v>855</v>
      </c>
      <c r="BA2">
        <v>0</v>
      </c>
      <c r="BB2">
        <v>0</v>
      </c>
      <c r="BC2">
        <v>0</v>
      </c>
      <c r="BD2">
        <v>0</v>
      </c>
      <c r="BE2">
        <v>0</v>
      </c>
    </row>
    <row r="3" spans="1:58" x14ac:dyDescent="0.3">
      <c r="A3">
        <v>2017</v>
      </c>
      <c r="B3" t="s">
        <v>59</v>
      </c>
      <c r="C3" t="s">
        <v>57</v>
      </c>
      <c r="D3" t="s">
        <v>57</v>
      </c>
      <c r="E3" t="s">
        <v>58</v>
      </c>
      <c r="F3" s="1">
        <v>1620809</v>
      </c>
      <c r="G3" s="1">
        <v>766625</v>
      </c>
      <c r="H3" s="1">
        <v>854184</v>
      </c>
      <c r="I3" s="1">
        <v>463060</v>
      </c>
      <c r="J3" s="1">
        <v>337985</v>
      </c>
      <c r="K3" s="1">
        <v>801045</v>
      </c>
      <c r="L3" s="1">
        <v>51824</v>
      </c>
      <c r="M3" s="1">
        <v>242229</v>
      </c>
      <c r="N3" s="1">
        <v>563923</v>
      </c>
      <c r="O3" s="1">
        <v>56348</v>
      </c>
      <c r="P3" s="1">
        <v>42359</v>
      </c>
      <c r="Q3" s="1">
        <v>976675</v>
      </c>
      <c r="R3" s="1">
        <v>36211</v>
      </c>
      <c r="S3" s="1">
        <v>39222</v>
      </c>
      <c r="T3" s="1">
        <v>18629</v>
      </c>
      <c r="U3" s="1">
        <v>51742</v>
      </c>
      <c r="V3" s="1">
        <v>24781</v>
      </c>
      <c r="W3" s="1">
        <v>7249</v>
      </c>
      <c r="X3" s="1">
        <v>3690</v>
      </c>
      <c r="Y3" s="1">
        <v>186917</v>
      </c>
      <c r="Z3" s="1">
        <v>158750</v>
      </c>
      <c r="AA3" s="1">
        <v>82211</v>
      </c>
      <c r="AB3" s="1">
        <v>45580</v>
      </c>
      <c r="AC3" s="1">
        <v>452411</v>
      </c>
      <c r="AD3" s="1">
        <v>339264</v>
      </c>
      <c r="AE3" s="1">
        <v>164394</v>
      </c>
      <c r="AF3" s="1">
        <v>93424</v>
      </c>
      <c r="AG3" s="1">
        <v>38567</v>
      </c>
      <c r="AH3" s="1">
        <v>27537</v>
      </c>
      <c r="AI3" s="1">
        <v>13537</v>
      </c>
      <c r="AJ3" s="1">
        <v>7631</v>
      </c>
      <c r="AK3" s="1">
        <v>33671</v>
      </c>
      <c r="AL3" s="1">
        <v>24390</v>
      </c>
      <c r="AM3" s="1">
        <v>7039</v>
      </c>
      <c r="AN3" s="1">
        <v>3530</v>
      </c>
      <c r="AO3" s="2">
        <v>10.41932680922109</v>
      </c>
      <c r="AP3" s="2">
        <v>13.421758702669271</v>
      </c>
      <c r="AQ3" s="2">
        <v>9.0829376702177189</v>
      </c>
      <c r="AR3" s="2">
        <v>10.413690727255849</v>
      </c>
      <c r="AS3" s="2">
        <v>11.09186976478826</v>
      </c>
      <c r="AT3" s="2">
        <v>11.872578278177169</v>
      </c>
      <c r="AU3" s="1">
        <v>651250</v>
      </c>
      <c r="AV3" s="1">
        <v>312136</v>
      </c>
      <c r="AW3" s="1">
        <v>3742</v>
      </c>
      <c r="AX3" s="1">
        <v>427</v>
      </c>
      <c r="AY3" s="1">
        <v>1</v>
      </c>
      <c r="AZ3" s="1">
        <v>949</v>
      </c>
      <c r="BA3" s="1">
        <v>264553</v>
      </c>
      <c r="BB3" s="1">
        <v>266408</v>
      </c>
      <c r="BC3" s="1">
        <v>8443</v>
      </c>
      <c r="BD3" s="1">
        <v>3044</v>
      </c>
      <c r="BE3" s="1">
        <v>426058</v>
      </c>
    </row>
    <row r="4" spans="1:58" x14ac:dyDescent="0.3">
      <c r="A4">
        <v>2018</v>
      </c>
      <c r="B4" t="s">
        <v>59</v>
      </c>
      <c r="C4" t="s">
        <v>57</v>
      </c>
      <c r="D4" t="s">
        <v>57</v>
      </c>
      <c r="E4" t="s">
        <v>58</v>
      </c>
      <c r="F4" s="1">
        <v>1620343</v>
      </c>
      <c r="G4" s="1">
        <v>765962</v>
      </c>
      <c r="H4" s="1">
        <v>854381</v>
      </c>
      <c r="I4" s="1">
        <v>462503</v>
      </c>
      <c r="J4" s="1">
        <v>339942</v>
      </c>
      <c r="K4" s="1">
        <v>802445</v>
      </c>
      <c r="L4" s="1">
        <v>51556</v>
      </c>
      <c r="M4" s="1">
        <v>247615</v>
      </c>
      <c r="N4" s="1">
        <v>560791</v>
      </c>
      <c r="O4" s="1">
        <v>56318</v>
      </c>
      <c r="P4" s="1">
        <v>41470</v>
      </c>
      <c r="Q4" s="1">
        <v>978143</v>
      </c>
      <c r="R4" s="1">
        <v>38158</v>
      </c>
      <c r="S4" s="1">
        <v>44471</v>
      </c>
      <c r="T4" s="1">
        <v>21222</v>
      </c>
      <c r="U4" s="1">
        <v>51467</v>
      </c>
      <c r="V4" s="1">
        <v>23005</v>
      </c>
      <c r="W4" s="1">
        <v>8325</v>
      </c>
      <c r="X4" s="1">
        <v>5564</v>
      </c>
      <c r="Y4" s="1">
        <v>191252</v>
      </c>
      <c r="Z4" s="1">
        <v>161733</v>
      </c>
      <c r="AA4" s="1">
        <v>81835</v>
      </c>
      <c r="AB4" s="1">
        <v>48089</v>
      </c>
      <c r="AC4" s="1">
        <v>447857</v>
      </c>
      <c r="AD4" s="1">
        <v>332984</v>
      </c>
      <c r="AE4" s="1">
        <v>169016</v>
      </c>
      <c r="AF4" s="1">
        <v>101362</v>
      </c>
      <c r="AG4" s="1">
        <v>37907</v>
      </c>
      <c r="AH4" s="1">
        <v>27290</v>
      </c>
      <c r="AI4" s="1">
        <v>14122</v>
      </c>
      <c r="AJ4" s="1">
        <v>8222</v>
      </c>
      <c r="AK4" s="1">
        <v>32641</v>
      </c>
      <c r="AL4" s="1">
        <v>22728</v>
      </c>
      <c r="AM4" s="1">
        <v>6803</v>
      </c>
      <c r="AN4" s="1">
        <v>3736</v>
      </c>
      <c r="AO4" s="2">
        <v>10.42877777906526</v>
      </c>
      <c r="AP4" s="2">
        <v>13.733861101395201</v>
      </c>
      <c r="AQ4" s="2">
        <v>9.2264769185718176</v>
      </c>
      <c r="AR4" s="2">
        <v>10.341486379359241</v>
      </c>
      <c r="AS4" s="2">
        <v>10.89048307521832</v>
      </c>
      <c r="AT4" s="2">
        <v>12.1962897591469</v>
      </c>
      <c r="AU4" s="1">
        <v>657795</v>
      </c>
      <c r="AV4" s="1">
        <v>302713</v>
      </c>
      <c r="AW4" s="1">
        <v>6909</v>
      </c>
      <c r="AX4" s="1">
        <v>1040</v>
      </c>
      <c r="AY4" s="1">
        <v>0</v>
      </c>
      <c r="AZ4" s="1">
        <v>1354</v>
      </c>
      <c r="BA4" s="1">
        <v>254551</v>
      </c>
      <c r="BB4" s="1">
        <v>306681</v>
      </c>
      <c r="BC4" s="1">
        <v>11866</v>
      </c>
      <c r="BD4" s="1">
        <v>6213</v>
      </c>
      <c r="BE4" s="1">
        <v>390500</v>
      </c>
    </row>
    <row r="5" spans="1:58" x14ac:dyDescent="0.3">
      <c r="A5">
        <v>2019</v>
      </c>
      <c r="B5" t="s">
        <v>59</v>
      </c>
      <c r="C5" t="s">
        <v>57</v>
      </c>
      <c r="D5" t="s">
        <v>57</v>
      </c>
      <c r="E5" t="s">
        <v>58</v>
      </c>
      <c r="F5" s="1">
        <v>1636762</v>
      </c>
      <c r="G5" s="1">
        <v>775619</v>
      </c>
      <c r="H5" s="1">
        <v>861143</v>
      </c>
      <c r="I5" s="1">
        <v>466435</v>
      </c>
      <c r="J5" s="1">
        <v>346467</v>
      </c>
      <c r="K5" s="1">
        <v>812902</v>
      </c>
      <c r="L5" s="1">
        <v>51951</v>
      </c>
      <c r="M5" s="1">
        <v>251309</v>
      </c>
      <c r="N5" s="1">
        <v>553686</v>
      </c>
      <c r="O5" s="1">
        <v>55663</v>
      </c>
      <c r="P5" s="1">
        <v>40141</v>
      </c>
      <c r="Q5" s="1">
        <v>973407</v>
      </c>
      <c r="R5" s="1">
        <v>35700</v>
      </c>
      <c r="S5" s="1">
        <v>38001</v>
      </c>
      <c r="T5" s="1">
        <v>17829</v>
      </c>
      <c r="U5" s="1">
        <v>51848</v>
      </c>
      <c r="V5" s="1">
        <v>23149</v>
      </c>
      <c r="W5" s="1">
        <v>10881</v>
      </c>
      <c r="X5" s="1">
        <v>8315</v>
      </c>
      <c r="Y5" s="1">
        <v>194722</v>
      </c>
      <c r="Z5" s="1">
        <v>162990</v>
      </c>
      <c r="AA5" s="1">
        <v>84409</v>
      </c>
      <c r="AB5" s="1">
        <v>49595</v>
      </c>
      <c r="AC5" s="1">
        <v>439544</v>
      </c>
      <c r="AD5" s="1">
        <v>326535</v>
      </c>
      <c r="AE5" s="1">
        <v>177391</v>
      </c>
      <c r="AF5" s="1">
        <v>105758</v>
      </c>
      <c r="AG5" s="1">
        <v>36744</v>
      </c>
      <c r="AH5" s="1">
        <v>26581</v>
      </c>
      <c r="AI5" s="1">
        <v>14511</v>
      </c>
      <c r="AJ5" s="1">
        <v>8010</v>
      </c>
      <c r="AK5" s="1">
        <v>31192</v>
      </c>
      <c r="AL5" s="1">
        <v>20960</v>
      </c>
      <c r="AM5" s="1">
        <v>7026</v>
      </c>
      <c r="AN5" s="1">
        <v>3992</v>
      </c>
      <c r="AO5" s="2">
        <v>10.347699352909309</v>
      </c>
      <c r="AP5" s="2">
        <v>13.70368702260628</v>
      </c>
      <c r="AQ5" s="2">
        <v>9.3302070268965487</v>
      </c>
      <c r="AR5" s="2">
        <v>10.17302351932033</v>
      </c>
      <c r="AS5" s="2">
        <v>10.66643658138269</v>
      </c>
      <c r="AT5" s="2">
        <v>12.3768570237599</v>
      </c>
      <c r="AU5" s="1">
        <v>664172</v>
      </c>
      <c r="AV5" s="1">
        <v>286481</v>
      </c>
      <c r="AW5" s="1">
        <v>10767</v>
      </c>
      <c r="AX5" s="1">
        <v>1817</v>
      </c>
      <c r="AY5" s="1">
        <v>0</v>
      </c>
      <c r="AZ5" s="1">
        <v>1758</v>
      </c>
      <c r="BA5" s="1">
        <v>243630</v>
      </c>
      <c r="BB5" s="1">
        <v>343055</v>
      </c>
      <c r="BC5" s="1">
        <v>16361</v>
      </c>
      <c r="BD5" s="1">
        <v>10146</v>
      </c>
      <c r="BE5" s="1">
        <v>351803</v>
      </c>
    </row>
    <row r="6" spans="1:58" x14ac:dyDescent="0.3">
      <c r="A6">
        <v>2020</v>
      </c>
      <c r="B6" t="s">
        <v>59</v>
      </c>
      <c r="C6" t="s">
        <v>57</v>
      </c>
      <c r="D6" t="s">
        <v>57</v>
      </c>
      <c r="E6" t="s">
        <v>58</v>
      </c>
      <c r="F6" s="1">
        <v>1664182</v>
      </c>
      <c r="G6" s="1">
        <v>790708</v>
      </c>
      <c r="H6" s="1">
        <v>873474</v>
      </c>
      <c r="I6" s="1">
        <v>459155</v>
      </c>
      <c r="J6" s="1">
        <v>341342</v>
      </c>
      <c r="K6" s="1">
        <v>800497</v>
      </c>
      <c r="L6" s="1">
        <v>54136</v>
      </c>
      <c r="M6" s="1">
        <v>253170</v>
      </c>
      <c r="N6" s="1">
        <v>546170</v>
      </c>
      <c r="O6" s="1">
        <v>55584</v>
      </c>
      <c r="P6" s="1">
        <v>38959</v>
      </c>
      <c r="Q6" s="1">
        <v>968884</v>
      </c>
      <c r="R6" s="1">
        <v>42760</v>
      </c>
      <c r="S6" s="1">
        <v>46037</v>
      </c>
      <c r="T6" s="1">
        <v>20382</v>
      </c>
      <c r="U6" s="1">
        <v>54024</v>
      </c>
      <c r="V6" s="1">
        <v>25787</v>
      </c>
      <c r="W6" s="1">
        <v>15507</v>
      </c>
      <c r="X6" s="1">
        <v>12654</v>
      </c>
      <c r="Y6" s="1">
        <v>196879</v>
      </c>
      <c r="Z6" s="1">
        <v>159775</v>
      </c>
      <c r="AA6" s="1">
        <v>87052</v>
      </c>
      <c r="AB6" s="1">
        <v>49018</v>
      </c>
      <c r="AC6" s="1">
        <v>431889</v>
      </c>
      <c r="AD6" s="1">
        <v>319848</v>
      </c>
      <c r="AE6" s="1">
        <v>182414</v>
      </c>
      <c r="AF6" s="1">
        <v>101397</v>
      </c>
      <c r="AG6" s="1">
        <v>36341</v>
      </c>
      <c r="AH6" s="1">
        <v>26596</v>
      </c>
      <c r="AI6" s="1">
        <v>15323</v>
      </c>
      <c r="AJ6" s="1">
        <v>7568</v>
      </c>
      <c r="AK6" s="1">
        <v>29805</v>
      </c>
      <c r="AL6" s="1">
        <v>19299</v>
      </c>
      <c r="AM6" s="1">
        <v>7416</v>
      </c>
      <c r="AN6" s="1">
        <v>3965</v>
      </c>
      <c r="AO6" s="2">
        <v>10.34381770435547</v>
      </c>
      <c r="AP6" s="2">
        <v>13.079289337282489</v>
      </c>
      <c r="AQ6" s="2">
        <v>9.4440822276855556</v>
      </c>
      <c r="AR6" s="2">
        <v>10.18273552247377</v>
      </c>
      <c r="AS6" s="2">
        <v>10.50728596196714</v>
      </c>
      <c r="AT6" s="2">
        <v>12.52915268456376</v>
      </c>
      <c r="AU6" s="1">
        <v>666759</v>
      </c>
      <c r="AV6" s="1">
        <v>272798</v>
      </c>
      <c r="AW6" s="1">
        <v>16510</v>
      </c>
      <c r="AX6" s="1">
        <v>2430</v>
      </c>
      <c r="AY6" s="1">
        <v>0</v>
      </c>
      <c r="AZ6" s="1">
        <v>1934</v>
      </c>
      <c r="BA6" s="1">
        <v>235484</v>
      </c>
      <c r="BB6" s="1">
        <v>368037</v>
      </c>
      <c r="BC6" s="1">
        <v>21182</v>
      </c>
      <c r="BD6" s="1">
        <v>16246</v>
      </c>
      <c r="BE6" s="1">
        <v>319482</v>
      </c>
    </row>
    <row r="7" spans="1:58" x14ac:dyDescent="0.3">
      <c r="A7">
        <v>2021</v>
      </c>
      <c r="B7" t="s">
        <v>59</v>
      </c>
      <c r="C7" t="s">
        <v>57</v>
      </c>
      <c r="D7" t="s">
        <v>57</v>
      </c>
      <c r="E7" t="s">
        <v>58</v>
      </c>
      <c r="F7">
        <v>1636732</v>
      </c>
      <c r="G7">
        <v>778744</v>
      </c>
      <c r="H7">
        <v>857988</v>
      </c>
      <c r="I7">
        <v>457486</v>
      </c>
      <c r="J7">
        <v>341264</v>
      </c>
      <c r="K7">
        <v>798750</v>
      </c>
      <c r="L7">
        <v>51948</v>
      </c>
      <c r="M7">
        <v>253708</v>
      </c>
      <c r="N7">
        <v>537218</v>
      </c>
      <c r="O7">
        <v>54730</v>
      </c>
      <c r="P7">
        <v>37173</v>
      </c>
      <c r="Q7">
        <v>955741</v>
      </c>
      <c r="R7">
        <v>39992</v>
      </c>
      <c r="S7">
        <v>37718</v>
      </c>
      <c r="T7">
        <v>17515</v>
      </c>
      <c r="U7">
        <v>51829</v>
      </c>
      <c r="V7">
        <v>23481</v>
      </c>
      <c r="W7">
        <v>15783</v>
      </c>
      <c r="X7">
        <v>12235</v>
      </c>
      <c r="Y7">
        <v>197883</v>
      </c>
      <c r="Z7">
        <v>153665</v>
      </c>
      <c r="AA7">
        <v>89341</v>
      </c>
      <c r="AB7">
        <v>48413</v>
      </c>
      <c r="AC7">
        <v>422699</v>
      </c>
      <c r="AD7">
        <v>305636</v>
      </c>
      <c r="AE7">
        <v>182665</v>
      </c>
      <c r="AF7">
        <v>91419</v>
      </c>
      <c r="AG7">
        <v>35436</v>
      </c>
      <c r="AH7">
        <v>25671</v>
      </c>
      <c r="AI7">
        <v>15854</v>
      </c>
      <c r="AJ7">
        <v>7097</v>
      </c>
      <c r="AK7">
        <v>27824</v>
      </c>
      <c r="AL7">
        <v>16793</v>
      </c>
      <c r="AM7">
        <v>7703</v>
      </c>
      <c r="AN7">
        <v>3790</v>
      </c>
      <c r="AO7" s="2">
        <v>10.488244433322331</v>
      </c>
      <c r="AP7" s="2">
        <v>13.589347612156301</v>
      </c>
      <c r="AQ7" s="2">
        <v>9.6124738469935416</v>
      </c>
      <c r="AR7" s="2">
        <v>10.320627507854789</v>
      </c>
      <c r="AS7" s="2">
        <v>10.429324640871499</v>
      </c>
      <c r="AT7" s="2">
        <v>12.588192602178371</v>
      </c>
      <c r="AU7">
        <v>665131</v>
      </c>
      <c r="AV7">
        <v>258379</v>
      </c>
      <c r="AW7">
        <v>18458</v>
      </c>
      <c r="AX7">
        <v>3265</v>
      </c>
      <c r="AY7">
        <v>1</v>
      </c>
      <c r="AZ7">
        <v>2108</v>
      </c>
      <c r="BA7">
        <v>219349</v>
      </c>
      <c r="BB7">
        <v>384860</v>
      </c>
      <c r="BC7">
        <v>27355</v>
      </c>
      <c r="BD7">
        <v>18919</v>
      </c>
      <c r="BE7">
        <v>296859</v>
      </c>
    </row>
    <row r="8" spans="1:58" x14ac:dyDescent="0.3">
      <c r="A8">
        <v>2022</v>
      </c>
      <c r="B8" t="s">
        <v>59</v>
      </c>
      <c r="C8" t="s">
        <v>57</v>
      </c>
      <c r="D8" t="s">
        <v>57</v>
      </c>
      <c r="E8" t="s">
        <v>58</v>
      </c>
      <c r="F8" s="1">
        <v>1636193</v>
      </c>
      <c r="G8" s="1">
        <v>778674</v>
      </c>
      <c r="H8" s="1">
        <v>857519</v>
      </c>
      <c r="I8" s="1">
        <v>457022</v>
      </c>
      <c r="J8" s="1">
        <v>341281</v>
      </c>
      <c r="K8" s="1">
        <v>798303</v>
      </c>
      <c r="L8" s="1">
        <v>48934</v>
      </c>
      <c r="M8" s="1">
        <v>255279</v>
      </c>
      <c r="N8" s="1">
        <v>530352</v>
      </c>
      <c r="O8" s="1">
        <v>54250</v>
      </c>
      <c r="P8" s="1">
        <v>36073</v>
      </c>
      <c r="Q8" s="1">
        <v>945796</v>
      </c>
      <c r="R8" s="1">
        <v>36670</v>
      </c>
      <c r="S8" s="1">
        <v>30661</v>
      </c>
      <c r="T8" s="1">
        <v>15872</v>
      </c>
      <c r="U8" s="1">
        <v>48777</v>
      </c>
      <c r="V8" s="1">
        <v>20218</v>
      </c>
      <c r="W8" s="1">
        <v>14726</v>
      </c>
      <c r="X8" s="1">
        <v>11287</v>
      </c>
      <c r="Y8" s="1">
        <v>199007</v>
      </c>
      <c r="Z8" s="1">
        <v>147833</v>
      </c>
      <c r="AA8" s="1">
        <v>90289</v>
      </c>
      <c r="AB8" s="1">
        <v>46273</v>
      </c>
      <c r="AC8" s="1">
        <v>414317</v>
      </c>
      <c r="AD8" s="1">
        <v>290154</v>
      </c>
      <c r="AE8" s="1">
        <v>178901</v>
      </c>
      <c r="AF8" s="1">
        <v>79306</v>
      </c>
      <c r="AG8" s="1">
        <v>34593</v>
      </c>
      <c r="AH8" s="1">
        <v>24349</v>
      </c>
      <c r="AI8" s="1">
        <v>15446</v>
      </c>
      <c r="AJ8" s="1">
        <v>5896</v>
      </c>
      <c r="AK8" s="1">
        <v>26343</v>
      </c>
      <c r="AL8" s="1">
        <v>14307</v>
      </c>
      <c r="AM8" s="1">
        <v>7656</v>
      </c>
      <c r="AN8" s="1">
        <v>3463</v>
      </c>
      <c r="AO8" s="2">
        <v>17.09</v>
      </c>
      <c r="AP8" s="2">
        <v>15.536666666666671</v>
      </c>
      <c r="AQ8" s="2">
        <v>14.491428571428569</v>
      </c>
      <c r="AR8" s="2">
        <v>18.29</v>
      </c>
      <c r="AS8" s="2">
        <v>18.815000000000001</v>
      </c>
      <c r="AT8" s="2">
        <v>18.14</v>
      </c>
      <c r="AU8" s="1">
        <v>665458</v>
      </c>
      <c r="AV8" s="1">
        <v>246531</v>
      </c>
      <c r="AW8" s="1">
        <v>19607</v>
      </c>
      <c r="AX8" s="1">
        <v>3633</v>
      </c>
      <c r="AY8" s="1">
        <v>2</v>
      </c>
      <c r="AZ8" s="1">
        <v>2229</v>
      </c>
      <c r="BA8" s="1">
        <v>202712</v>
      </c>
      <c r="BB8" s="1">
        <v>396297</v>
      </c>
      <c r="BC8" s="1">
        <v>34453</v>
      </c>
      <c r="BD8" s="1">
        <v>20991</v>
      </c>
      <c r="BE8" s="1">
        <v>283007</v>
      </c>
    </row>
    <row r="9" spans="1:58" x14ac:dyDescent="0.3">
      <c r="A9">
        <v>2023</v>
      </c>
      <c r="B9" t="s">
        <v>59</v>
      </c>
      <c r="C9" t="s">
        <v>57</v>
      </c>
      <c r="D9" t="s">
        <v>57</v>
      </c>
      <c r="E9" t="s">
        <v>58</v>
      </c>
      <c r="F9" s="1">
        <v>1660122</v>
      </c>
      <c r="G9" s="1">
        <v>789758</v>
      </c>
      <c r="H9" s="1">
        <v>870364</v>
      </c>
      <c r="I9" s="1">
        <v>457137</v>
      </c>
      <c r="J9" s="1">
        <v>341721</v>
      </c>
      <c r="K9" s="1">
        <v>798858</v>
      </c>
      <c r="L9" s="1">
        <v>45891</v>
      </c>
      <c r="M9" s="1">
        <v>258126</v>
      </c>
      <c r="N9" s="1">
        <v>516505</v>
      </c>
      <c r="O9" s="1">
        <v>54676</v>
      </c>
      <c r="P9" s="1">
        <v>35664</v>
      </c>
      <c r="Q9" s="1">
        <v>932143</v>
      </c>
      <c r="R9" s="1">
        <v>34627</v>
      </c>
      <c r="S9" s="1">
        <v>27084</v>
      </c>
      <c r="T9" s="1">
        <v>14648</v>
      </c>
      <c r="U9" s="1">
        <v>45691</v>
      </c>
      <c r="V9" s="1">
        <v>17284</v>
      </c>
      <c r="W9" s="1">
        <v>13069</v>
      </c>
      <c r="X9" s="1">
        <v>6666</v>
      </c>
      <c r="Y9" s="1">
        <v>201296</v>
      </c>
      <c r="Z9" s="1">
        <v>146005</v>
      </c>
      <c r="AA9" s="1">
        <v>91425</v>
      </c>
      <c r="AB9" s="1">
        <v>45814</v>
      </c>
      <c r="AC9" s="1">
        <v>413692</v>
      </c>
      <c r="AD9" s="1">
        <v>287627</v>
      </c>
      <c r="AE9" s="1">
        <v>177666</v>
      </c>
      <c r="AF9" s="1">
        <v>72002</v>
      </c>
      <c r="AG9" s="1">
        <v>34811</v>
      </c>
      <c r="AH9" s="1">
        <v>24636</v>
      </c>
      <c r="AI9" s="1">
        <v>15171</v>
      </c>
      <c r="AJ9" s="1">
        <v>5398</v>
      </c>
      <c r="AK9" s="1">
        <v>25558</v>
      </c>
      <c r="AL9" s="1">
        <v>13415</v>
      </c>
      <c r="AM9" s="1">
        <v>7684</v>
      </c>
      <c r="AN9" s="1">
        <v>3286</v>
      </c>
      <c r="AO9" s="2">
        <v>10.83217365623956</v>
      </c>
      <c r="AP9" s="2">
        <v>15.450073980038519</v>
      </c>
      <c r="AQ9" s="2">
        <v>9.8837555268518056</v>
      </c>
      <c r="AR9" s="2">
        <v>10.632145281376911</v>
      </c>
      <c r="AS9" s="2">
        <v>10.58502111522882</v>
      </c>
      <c r="AT9" s="2">
        <v>12.826346311876341</v>
      </c>
      <c r="AU9" s="1">
        <v>657871</v>
      </c>
      <c r="AV9" s="1">
        <v>238707</v>
      </c>
      <c r="AW9" s="1">
        <v>20727</v>
      </c>
      <c r="AX9" s="1">
        <v>4229</v>
      </c>
      <c r="AY9" s="1">
        <v>3</v>
      </c>
      <c r="AZ9" s="1">
        <v>2198</v>
      </c>
      <c r="BA9" s="1">
        <v>188096</v>
      </c>
      <c r="BB9" s="1">
        <v>411171</v>
      </c>
      <c r="BC9" s="1">
        <v>43040</v>
      </c>
      <c r="BD9" s="1">
        <v>23498</v>
      </c>
      <c r="BE9" s="1">
        <v>257930</v>
      </c>
    </row>
    <row r="10" spans="1:58" x14ac:dyDescent="0.3">
      <c r="A10">
        <v>2024</v>
      </c>
      <c r="B10" t="s">
        <v>59</v>
      </c>
      <c r="C10" t="s">
        <v>57</v>
      </c>
      <c r="D10" t="s">
        <v>57</v>
      </c>
      <c r="E10" t="s">
        <v>58</v>
      </c>
      <c r="F10" s="1">
        <v>1686208</v>
      </c>
      <c r="G10" s="1">
        <v>804018</v>
      </c>
      <c r="H10" s="1">
        <v>882190</v>
      </c>
      <c r="I10" s="1">
        <v>457429</v>
      </c>
      <c r="J10" s="1">
        <v>341773</v>
      </c>
      <c r="K10" s="1">
        <v>799202</v>
      </c>
      <c r="L10" s="1">
        <v>39704</v>
      </c>
      <c r="M10" s="1">
        <v>265363</v>
      </c>
      <c r="N10" s="1">
        <v>487258</v>
      </c>
      <c r="O10" s="1">
        <v>54812</v>
      </c>
      <c r="P10" s="1">
        <v>35245</v>
      </c>
      <c r="Q10" s="1">
        <v>904004</v>
      </c>
      <c r="R10" s="1">
        <v>34188</v>
      </c>
      <c r="S10" s="1">
        <v>26470</v>
      </c>
      <c r="T10" s="1">
        <v>14533</v>
      </c>
      <c r="U10" s="1">
        <v>37214</v>
      </c>
      <c r="V10" s="1">
        <v>15704</v>
      </c>
      <c r="W10" s="1">
        <v>11982</v>
      </c>
      <c r="X10" s="1">
        <v>3834</v>
      </c>
      <c r="Y10" s="1">
        <v>207894</v>
      </c>
      <c r="Z10" s="1">
        <v>150324</v>
      </c>
      <c r="AA10" s="1">
        <v>94933</v>
      </c>
      <c r="AB10" s="1">
        <v>49350</v>
      </c>
      <c r="AC10" s="1">
        <v>410806</v>
      </c>
      <c r="AD10" s="1">
        <v>283480</v>
      </c>
      <c r="AE10" s="1">
        <v>170994</v>
      </c>
      <c r="AF10" s="1">
        <v>69674</v>
      </c>
      <c r="AG10" s="1">
        <v>34666</v>
      </c>
      <c r="AH10" s="1">
        <v>24851</v>
      </c>
      <c r="AI10" s="1">
        <v>14487</v>
      </c>
      <c r="AJ10" s="1">
        <v>5011</v>
      </c>
      <c r="AK10" s="1">
        <v>24697</v>
      </c>
      <c r="AL10" s="1">
        <v>13023</v>
      </c>
      <c r="AM10" s="1">
        <v>7518</v>
      </c>
      <c r="AN10" s="1">
        <v>3362</v>
      </c>
      <c r="AO10" s="2">
        <v>10.847617394421995</v>
      </c>
      <c r="AP10" s="2">
        <v>14.9799121227594</v>
      </c>
      <c r="AQ10" s="2">
        <v>9.8882634001799037</v>
      </c>
      <c r="AR10" s="2">
        <v>10.803910237684885</v>
      </c>
      <c r="AS10" s="2">
        <v>10.69738633741057</v>
      </c>
      <c r="AT10" s="2">
        <v>12.925886855106503</v>
      </c>
      <c r="AU10" s="1">
        <v>634726</v>
      </c>
      <c r="AV10" s="1">
        <v>230445</v>
      </c>
      <c r="AW10" s="1">
        <v>23299</v>
      </c>
      <c r="AX10" s="1">
        <v>5035</v>
      </c>
      <c r="AY10" s="1">
        <v>2</v>
      </c>
      <c r="AZ10" s="1">
        <v>2105</v>
      </c>
      <c r="BA10" s="1">
        <v>174084</v>
      </c>
      <c r="BB10" s="1">
        <v>423896</v>
      </c>
      <c r="BC10" s="1">
        <v>52320</v>
      </c>
      <c r="BD10" s="1">
        <v>27413</v>
      </c>
      <c r="BE10" s="1">
        <v>217899</v>
      </c>
    </row>
    <row r="21" spans="46:46" x14ac:dyDescent="0.3">
      <c r="AT21" s="1"/>
    </row>
  </sheetData>
  <sortState xmlns:xlrd2="http://schemas.microsoft.com/office/spreadsheetml/2017/richdata2" ref="A2:BF10">
    <sortCondition ref="A1:A10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A3982-96E6-41B5-AAC2-390003C6ED90}">
  <dimension ref="A1:A58"/>
  <sheetViews>
    <sheetView topLeftCell="A58" workbookViewId="0">
      <selection activeCell="A55" sqref="A55"/>
    </sheetView>
  </sheetViews>
  <sheetFormatPr baseColWidth="10" defaultRowHeight="14.4" x14ac:dyDescent="0.3"/>
  <cols>
    <col min="1" max="1" width="37.44140625" bestFit="1" customWidth="1"/>
  </cols>
  <sheetData>
    <row r="1" spans="1:1" x14ac:dyDescent="0.3">
      <c r="A1" t="s">
        <v>60</v>
      </c>
    </row>
    <row r="2" spans="1:1" x14ac:dyDescent="0.3">
      <c r="A2" t="s">
        <v>0</v>
      </c>
    </row>
    <row r="3" spans="1:1" x14ac:dyDescent="0.3">
      <c r="A3" t="s">
        <v>1</v>
      </c>
    </row>
    <row r="4" spans="1:1" x14ac:dyDescent="0.3">
      <c r="A4" t="s">
        <v>2</v>
      </c>
    </row>
    <row r="5" spans="1:1" x14ac:dyDescent="0.3">
      <c r="A5" t="s">
        <v>3</v>
      </c>
    </row>
    <row r="6" spans="1:1" x14ac:dyDescent="0.3">
      <c r="A6" t="s">
        <v>4</v>
      </c>
    </row>
    <row r="7" spans="1:1" x14ac:dyDescent="0.3">
      <c r="A7" t="s">
        <v>5</v>
      </c>
    </row>
    <row r="8" spans="1:1" x14ac:dyDescent="0.3">
      <c r="A8" t="s">
        <v>6</v>
      </c>
    </row>
    <row r="9" spans="1:1" x14ac:dyDescent="0.3">
      <c r="A9" t="s">
        <v>7</v>
      </c>
    </row>
    <row r="10" spans="1:1" x14ac:dyDescent="0.3">
      <c r="A10" t="s">
        <v>8</v>
      </c>
    </row>
    <row r="11" spans="1:1" x14ac:dyDescent="0.3">
      <c r="A11" t="s">
        <v>9</v>
      </c>
    </row>
    <row r="12" spans="1:1" x14ac:dyDescent="0.3">
      <c r="A12" t="s">
        <v>10</v>
      </c>
    </row>
    <row r="13" spans="1:1" x14ac:dyDescent="0.3">
      <c r="A13" t="s">
        <v>11</v>
      </c>
    </row>
    <row r="14" spans="1:1" x14ac:dyDescent="0.3">
      <c r="A14" t="s">
        <v>12</v>
      </c>
    </row>
    <row r="15" spans="1:1" x14ac:dyDescent="0.3">
      <c r="A15" t="s">
        <v>13</v>
      </c>
    </row>
    <row r="16" spans="1:1" x14ac:dyDescent="0.3">
      <c r="A16" t="s">
        <v>14</v>
      </c>
    </row>
    <row r="17" spans="1:1" x14ac:dyDescent="0.3">
      <c r="A17" t="s">
        <v>15</v>
      </c>
    </row>
    <row r="18" spans="1:1" x14ac:dyDescent="0.3">
      <c r="A18" t="s">
        <v>16</v>
      </c>
    </row>
    <row r="19" spans="1:1" x14ac:dyDescent="0.3">
      <c r="A19" t="s">
        <v>17</v>
      </c>
    </row>
    <row r="20" spans="1:1" x14ac:dyDescent="0.3">
      <c r="A20" t="s">
        <v>18</v>
      </c>
    </row>
    <row r="21" spans="1:1" x14ac:dyDescent="0.3">
      <c r="A21" t="s">
        <v>19</v>
      </c>
    </row>
    <row r="22" spans="1:1" x14ac:dyDescent="0.3">
      <c r="A22" t="s">
        <v>20</v>
      </c>
    </row>
    <row r="23" spans="1:1" x14ac:dyDescent="0.3">
      <c r="A23" t="s">
        <v>21</v>
      </c>
    </row>
    <row r="24" spans="1:1" x14ac:dyDescent="0.3">
      <c r="A24" t="s">
        <v>22</v>
      </c>
    </row>
    <row r="25" spans="1:1" x14ac:dyDescent="0.3">
      <c r="A25" t="s">
        <v>23</v>
      </c>
    </row>
    <row r="26" spans="1:1" x14ac:dyDescent="0.3">
      <c r="A26" t="s">
        <v>24</v>
      </c>
    </row>
    <row r="27" spans="1:1" x14ac:dyDescent="0.3">
      <c r="A27" t="s">
        <v>25</v>
      </c>
    </row>
    <row r="28" spans="1:1" x14ac:dyDescent="0.3">
      <c r="A28" t="s">
        <v>26</v>
      </c>
    </row>
    <row r="29" spans="1:1" x14ac:dyDescent="0.3">
      <c r="A29" t="s">
        <v>27</v>
      </c>
    </row>
    <row r="30" spans="1:1" x14ac:dyDescent="0.3">
      <c r="A30" t="s">
        <v>28</v>
      </c>
    </row>
    <row r="31" spans="1:1" x14ac:dyDescent="0.3">
      <c r="A31" t="s">
        <v>29</v>
      </c>
    </row>
    <row r="32" spans="1:1" x14ac:dyDescent="0.3">
      <c r="A32" t="s">
        <v>30</v>
      </c>
    </row>
    <row r="33" spans="1:1" x14ac:dyDescent="0.3">
      <c r="A33" t="s">
        <v>31</v>
      </c>
    </row>
    <row r="34" spans="1:1" x14ac:dyDescent="0.3">
      <c r="A34" t="s">
        <v>32</v>
      </c>
    </row>
    <row r="35" spans="1:1" x14ac:dyDescent="0.3">
      <c r="A35" t="s">
        <v>33</v>
      </c>
    </row>
    <row r="36" spans="1:1" x14ac:dyDescent="0.3">
      <c r="A36" t="s">
        <v>34</v>
      </c>
    </row>
    <row r="37" spans="1:1" x14ac:dyDescent="0.3">
      <c r="A37" t="s">
        <v>35</v>
      </c>
    </row>
    <row r="38" spans="1:1" x14ac:dyDescent="0.3">
      <c r="A38" t="s">
        <v>36</v>
      </c>
    </row>
    <row r="39" spans="1:1" x14ac:dyDescent="0.3">
      <c r="A39" t="s">
        <v>37</v>
      </c>
    </row>
    <row r="40" spans="1:1" x14ac:dyDescent="0.3">
      <c r="A40" t="s">
        <v>38</v>
      </c>
    </row>
    <row r="41" spans="1:1" x14ac:dyDescent="0.3">
      <c r="A41" t="s">
        <v>39</v>
      </c>
    </row>
    <row r="42" spans="1:1" x14ac:dyDescent="0.3">
      <c r="A42" t="s">
        <v>40</v>
      </c>
    </row>
    <row r="43" spans="1:1" x14ac:dyDescent="0.3">
      <c r="A43" t="s">
        <v>41</v>
      </c>
    </row>
    <row r="44" spans="1:1" x14ac:dyDescent="0.3">
      <c r="A44" t="s">
        <v>42</v>
      </c>
    </row>
    <row r="45" spans="1:1" x14ac:dyDescent="0.3">
      <c r="A45" t="s">
        <v>43</v>
      </c>
    </row>
    <row r="46" spans="1:1" x14ac:dyDescent="0.3">
      <c r="A46" t="s">
        <v>44</v>
      </c>
    </row>
    <row r="47" spans="1:1" x14ac:dyDescent="0.3">
      <c r="A47" t="s">
        <v>45</v>
      </c>
    </row>
    <row r="48" spans="1:1" x14ac:dyDescent="0.3">
      <c r="A48" t="s">
        <v>46</v>
      </c>
    </row>
    <row r="49" spans="1:1" x14ac:dyDescent="0.3">
      <c r="A49" t="s">
        <v>47</v>
      </c>
    </row>
    <row r="50" spans="1:1" x14ac:dyDescent="0.3">
      <c r="A50" t="s">
        <v>48</v>
      </c>
    </row>
    <row r="51" spans="1:1" x14ac:dyDescent="0.3">
      <c r="A51" t="s">
        <v>49</v>
      </c>
    </row>
    <row r="52" spans="1:1" x14ac:dyDescent="0.3">
      <c r="A52" t="s">
        <v>50</v>
      </c>
    </row>
    <row r="53" spans="1:1" x14ac:dyDescent="0.3">
      <c r="A53" t="s">
        <v>51</v>
      </c>
    </row>
    <row r="54" spans="1:1" x14ac:dyDescent="0.3">
      <c r="A54" t="s">
        <v>52</v>
      </c>
    </row>
    <row r="55" spans="1:1" x14ac:dyDescent="0.3">
      <c r="A55" t="s">
        <v>53</v>
      </c>
    </row>
    <row r="56" spans="1:1" x14ac:dyDescent="0.3">
      <c r="A56" t="s">
        <v>54</v>
      </c>
    </row>
    <row r="57" spans="1:1" x14ac:dyDescent="0.3">
      <c r="A57" t="s">
        <v>55</v>
      </c>
    </row>
    <row r="58" spans="1:1" x14ac:dyDescent="0.3">
      <c r="A58" t="s">
        <v>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07073-90CC-47F6-BBF9-918C3B6AF63C}">
  <dimension ref="A1:G21"/>
  <sheetViews>
    <sheetView workbookViewId="0">
      <selection sqref="A1:A1048576"/>
    </sheetView>
  </sheetViews>
  <sheetFormatPr baseColWidth="10" defaultRowHeight="14.4" x14ac:dyDescent="0.3"/>
  <cols>
    <col min="2" max="2" width="37.44140625" bestFit="1" customWidth="1"/>
  </cols>
  <sheetData>
    <row r="1" spans="1:7" x14ac:dyDescent="0.3">
      <c r="A1" t="s">
        <v>60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</row>
    <row r="2" spans="1:7" x14ac:dyDescent="0.3">
      <c r="A2">
        <v>2016</v>
      </c>
      <c r="B2" s="2">
        <v>10.36715164128155</v>
      </c>
      <c r="C2" s="2">
        <v>12.796012868410131</v>
      </c>
      <c r="D2" s="2">
        <v>9.0380549680582227</v>
      </c>
      <c r="E2" s="2">
        <v>10.404121660333621</v>
      </c>
      <c r="F2" s="2">
        <v>11.38404251554522</v>
      </c>
      <c r="G2" s="2">
        <v>11.436889930013299</v>
      </c>
    </row>
    <row r="3" spans="1:7" x14ac:dyDescent="0.3">
      <c r="A3">
        <v>2017</v>
      </c>
      <c r="B3" s="2">
        <v>10.41932680922109</v>
      </c>
      <c r="C3" s="2">
        <v>13.421758702669271</v>
      </c>
      <c r="D3" s="2">
        <v>9.0829376702177189</v>
      </c>
      <c r="E3" s="2">
        <v>10.413690727255849</v>
      </c>
      <c r="F3" s="2">
        <v>11.09186976478826</v>
      </c>
      <c r="G3" s="2">
        <v>11.872578278177169</v>
      </c>
    </row>
    <row r="4" spans="1:7" x14ac:dyDescent="0.3">
      <c r="A4">
        <v>2018</v>
      </c>
      <c r="B4" s="2">
        <v>10.42877777906526</v>
      </c>
      <c r="C4" s="2">
        <v>13.733861101395201</v>
      </c>
      <c r="D4" s="2">
        <v>9.2264769185718176</v>
      </c>
      <c r="E4" s="2">
        <v>10.341486379359241</v>
      </c>
      <c r="F4" s="2">
        <v>10.89048307521832</v>
      </c>
      <c r="G4" s="2">
        <v>12.1962897591469</v>
      </c>
    </row>
    <row r="5" spans="1:7" x14ac:dyDescent="0.3">
      <c r="A5">
        <v>2019</v>
      </c>
      <c r="B5" s="2">
        <v>10.347699352909309</v>
      </c>
      <c r="C5" s="2">
        <v>13.70368702260628</v>
      </c>
      <c r="D5" s="2">
        <v>9.3302070268965487</v>
      </c>
      <c r="E5" s="2">
        <v>10.17302351932033</v>
      </c>
      <c r="F5" s="2">
        <v>10.66643658138269</v>
      </c>
      <c r="G5" s="2">
        <v>12.3768570237599</v>
      </c>
    </row>
    <row r="6" spans="1:7" x14ac:dyDescent="0.3">
      <c r="A6">
        <v>2020</v>
      </c>
      <c r="B6" s="2">
        <v>10.34381770435547</v>
      </c>
      <c r="C6" s="2">
        <v>13.079289337282489</v>
      </c>
      <c r="D6" s="2">
        <v>9.4440822276855556</v>
      </c>
      <c r="E6" s="2">
        <v>10.18273552247377</v>
      </c>
      <c r="F6" s="2">
        <v>10.50728596196714</v>
      </c>
      <c r="G6" s="2">
        <v>12.52915268456376</v>
      </c>
    </row>
    <row r="7" spans="1:7" x14ac:dyDescent="0.3">
      <c r="A7">
        <v>2021</v>
      </c>
      <c r="B7" s="2">
        <v>10.488244433322331</v>
      </c>
      <c r="C7" s="2">
        <v>13.589347612156301</v>
      </c>
      <c r="D7" s="2">
        <v>9.6124738469935416</v>
      </c>
      <c r="E7" s="2">
        <v>10.320627507854789</v>
      </c>
      <c r="F7" s="2">
        <v>10.429324640871499</v>
      </c>
      <c r="G7" s="2">
        <v>12.588192602178371</v>
      </c>
    </row>
    <row r="8" spans="1:7" x14ac:dyDescent="0.3">
      <c r="A8">
        <v>2022</v>
      </c>
      <c r="B8" s="2">
        <v>17.09</v>
      </c>
      <c r="C8" s="2">
        <v>15.536666666666671</v>
      </c>
      <c r="D8" s="2">
        <v>14.491428571428569</v>
      </c>
      <c r="E8" s="2">
        <v>18.29</v>
      </c>
      <c r="F8" s="2">
        <v>18.815000000000001</v>
      </c>
      <c r="G8" s="2">
        <v>18.14</v>
      </c>
    </row>
    <row r="9" spans="1:7" x14ac:dyDescent="0.3">
      <c r="A9">
        <v>2023</v>
      </c>
      <c r="B9" s="2">
        <v>10.83217365623956</v>
      </c>
      <c r="C9" s="2">
        <v>15.450073980038519</v>
      </c>
      <c r="D9" s="2">
        <v>9.8837555268518056</v>
      </c>
      <c r="E9" s="2">
        <v>10.632145281376911</v>
      </c>
      <c r="F9" s="2">
        <v>10.58502111522882</v>
      </c>
      <c r="G9" s="2">
        <v>12.826346311876341</v>
      </c>
    </row>
    <row r="10" spans="1:7" x14ac:dyDescent="0.3">
      <c r="A10">
        <v>2024</v>
      </c>
      <c r="B10" s="2">
        <v>10.847617394421995</v>
      </c>
      <c r="C10" s="2">
        <v>14.9799121227594</v>
      </c>
      <c r="D10" s="2">
        <v>9.8882634001799037</v>
      </c>
      <c r="E10" s="2">
        <v>10.803910237684885</v>
      </c>
      <c r="F10" s="2">
        <v>10.69738633741057</v>
      </c>
      <c r="G10" s="2">
        <v>12.925886855106503</v>
      </c>
    </row>
    <row r="21" spans="7:7" x14ac:dyDescent="0.3">
      <c r="G21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97DB8-C2B0-4DAB-9EDA-D8FC44C2426A}">
  <dimension ref="A1:E10"/>
  <sheetViews>
    <sheetView workbookViewId="0">
      <selection sqref="A1:A1048576"/>
    </sheetView>
  </sheetViews>
  <sheetFormatPr baseColWidth="10" defaultRowHeight="14.4" x14ac:dyDescent="0.3"/>
  <cols>
    <col min="2" max="3" width="26.109375" bestFit="1" customWidth="1"/>
    <col min="4" max="5" width="25.109375" bestFit="1" customWidth="1"/>
  </cols>
  <sheetData>
    <row r="1" spans="1:5" x14ac:dyDescent="0.3">
      <c r="A1" t="s">
        <v>60</v>
      </c>
      <c r="B1" t="s">
        <v>35</v>
      </c>
      <c r="C1" t="s">
        <v>36</v>
      </c>
      <c r="D1" t="s">
        <v>37</v>
      </c>
      <c r="E1" t="s">
        <v>38</v>
      </c>
    </row>
    <row r="2" spans="1:5" x14ac:dyDescent="0.3">
      <c r="A2">
        <v>2016</v>
      </c>
      <c r="B2" s="1">
        <v>34588</v>
      </c>
      <c r="C2" s="1">
        <v>26041</v>
      </c>
      <c r="D2" s="1">
        <v>7832</v>
      </c>
      <c r="E2" s="1">
        <v>3141</v>
      </c>
    </row>
    <row r="3" spans="1:5" x14ac:dyDescent="0.3">
      <c r="A3">
        <v>2017</v>
      </c>
      <c r="B3" s="1">
        <v>33671</v>
      </c>
      <c r="C3" s="1">
        <v>24390</v>
      </c>
      <c r="D3" s="1">
        <v>7039</v>
      </c>
      <c r="E3" s="1">
        <v>3530</v>
      </c>
    </row>
    <row r="4" spans="1:5" x14ac:dyDescent="0.3">
      <c r="A4">
        <v>2018</v>
      </c>
      <c r="B4" s="1">
        <v>32641</v>
      </c>
      <c r="C4" s="1">
        <v>22728</v>
      </c>
      <c r="D4" s="1">
        <v>6803</v>
      </c>
      <c r="E4" s="1">
        <v>3736</v>
      </c>
    </row>
    <row r="5" spans="1:5" x14ac:dyDescent="0.3">
      <c r="A5">
        <v>2019</v>
      </c>
      <c r="B5" s="1">
        <v>31192</v>
      </c>
      <c r="C5" s="1">
        <v>20960</v>
      </c>
      <c r="D5" s="1">
        <v>7026</v>
      </c>
      <c r="E5" s="1">
        <v>3992</v>
      </c>
    </row>
    <row r="6" spans="1:5" x14ac:dyDescent="0.3">
      <c r="A6">
        <v>2020</v>
      </c>
      <c r="B6" s="1">
        <v>29805</v>
      </c>
      <c r="C6" s="1">
        <v>19299</v>
      </c>
      <c r="D6" s="1">
        <v>7416</v>
      </c>
      <c r="E6" s="1">
        <v>3965</v>
      </c>
    </row>
    <row r="7" spans="1:5" x14ac:dyDescent="0.3">
      <c r="A7">
        <v>2021</v>
      </c>
      <c r="B7">
        <v>27824</v>
      </c>
      <c r="C7">
        <v>16793</v>
      </c>
      <c r="D7">
        <v>7703</v>
      </c>
      <c r="E7">
        <v>3790</v>
      </c>
    </row>
    <row r="8" spans="1:5" x14ac:dyDescent="0.3">
      <c r="A8">
        <v>2022</v>
      </c>
      <c r="B8" s="1">
        <v>26343</v>
      </c>
      <c r="C8" s="1">
        <v>14307</v>
      </c>
      <c r="D8" s="1">
        <v>7656</v>
      </c>
      <c r="E8" s="1">
        <v>3463</v>
      </c>
    </row>
    <row r="9" spans="1:5" x14ac:dyDescent="0.3">
      <c r="A9">
        <v>2023</v>
      </c>
      <c r="B9" s="1">
        <v>25558</v>
      </c>
      <c r="C9" s="1">
        <v>13415</v>
      </c>
      <c r="D9" s="1">
        <v>7684</v>
      </c>
      <c r="E9" s="1">
        <v>3286</v>
      </c>
    </row>
    <row r="10" spans="1:5" x14ac:dyDescent="0.3">
      <c r="A10">
        <v>2024</v>
      </c>
      <c r="B10" s="1">
        <v>24697</v>
      </c>
      <c r="C10" s="1">
        <v>13023</v>
      </c>
      <c r="D10" s="1">
        <v>7518</v>
      </c>
      <c r="E10" s="1">
        <v>3362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B9573-BA8B-461B-AD0B-2461DE6F4916}">
  <dimension ref="A1:E10"/>
  <sheetViews>
    <sheetView workbookViewId="0">
      <selection sqref="A1:A1048576"/>
    </sheetView>
  </sheetViews>
  <sheetFormatPr baseColWidth="10" defaultRowHeight="14.4" x14ac:dyDescent="0.3"/>
  <cols>
    <col min="2" max="3" width="27.44140625" bestFit="1" customWidth="1"/>
    <col min="4" max="5" width="26.44140625" bestFit="1" customWidth="1"/>
  </cols>
  <sheetData>
    <row r="1" spans="1:5" x14ac:dyDescent="0.3">
      <c r="A1" t="s">
        <v>60</v>
      </c>
      <c r="B1" t="s">
        <v>31</v>
      </c>
      <c r="C1" t="s">
        <v>32</v>
      </c>
      <c r="D1" t="s">
        <v>33</v>
      </c>
      <c r="E1" t="s">
        <v>34</v>
      </c>
    </row>
    <row r="2" spans="1:5" x14ac:dyDescent="0.3">
      <c r="A2">
        <v>2016</v>
      </c>
      <c r="B2" s="1">
        <v>39574</v>
      </c>
      <c r="C2" s="1">
        <v>27674</v>
      </c>
      <c r="D2" s="1">
        <v>12719</v>
      </c>
      <c r="E2" s="1">
        <v>6820</v>
      </c>
    </row>
    <row r="3" spans="1:5" x14ac:dyDescent="0.3">
      <c r="A3">
        <v>2017</v>
      </c>
      <c r="B3" s="1">
        <v>38567</v>
      </c>
      <c r="C3" s="1">
        <v>27537</v>
      </c>
      <c r="D3" s="1">
        <v>13537</v>
      </c>
      <c r="E3" s="1">
        <v>7631</v>
      </c>
    </row>
    <row r="4" spans="1:5" x14ac:dyDescent="0.3">
      <c r="A4">
        <v>2018</v>
      </c>
      <c r="B4" s="1">
        <v>37907</v>
      </c>
      <c r="C4" s="1">
        <v>27290</v>
      </c>
      <c r="D4" s="1">
        <v>14122</v>
      </c>
      <c r="E4" s="1">
        <v>8222</v>
      </c>
    </row>
    <row r="5" spans="1:5" x14ac:dyDescent="0.3">
      <c r="A5">
        <v>2019</v>
      </c>
      <c r="B5" s="1">
        <v>36744</v>
      </c>
      <c r="C5" s="1">
        <v>26581</v>
      </c>
      <c r="D5" s="1">
        <v>14511</v>
      </c>
      <c r="E5" s="1">
        <v>8010</v>
      </c>
    </row>
    <row r="6" spans="1:5" x14ac:dyDescent="0.3">
      <c r="A6">
        <v>2020</v>
      </c>
      <c r="B6" s="1">
        <v>36341</v>
      </c>
      <c r="C6" s="1">
        <v>26596</v>
      </c>
      <c r="D6" s="1">
        <v>15323</v>
      </c>
      <c r="E6" s="1">
        <v>7568</v>
      </c>
    </row>
    <row r="7" spans="1:5" x14ac:dyDescent="0.3">
      <c r="A7">
        <v>2021</v>
      </c>
      <c r="B7">
        <v>35436</v>
      </c>
      <c r="C7">
        <v>25671</v>
      </c>
      <c r="D7">
        <v>15854</v>
      </c>
      <c r="E7">
        <v>7097</v>
      </c>
    </row>
    <row r="8" spans="1:5" x14ac:dyDescent="0.3">
      <c r="A8">
        <v>2022</v>
      </c>
      <c r="B8" s="1">
        <v>34593</v>
      </c>
      <c r="C8" s="1">
        <v>24349</v>
      </c>
      <c r="D8" s="1">
        <v>15446</v>
      </c>
      <c r="E8" s="1">
        <v>5896</v>
      </c>
    </row>
    <row r="9" spans="1:5" x14ac:dyDescent="0.3">
      <c r="A9">
        <v>2023</v>
      </c>
      <c r="B9" s="1">
        <v>34811</v>
      </c>
      <c r="C9" s="1">
        <v>24636</v>
      </c>
      <c r="D9" s="1">
        <v>15171</v>
      </c>
      <c r="E9" s="1">
        <v>5398</v>
      </c>
    </row>
    <row r="10" spans="1:5" x14ac:dyDescent="0.3">
      <c r="A10">
        <v>2024</v>
      </c>
      <c r="B10" s="1">
        <v>34666</v>
      </c>
      <c r="C10" s="1">
        <v>24851</v>
      </c>
      <c r="D10" s="1">
        <v>14487</v>
      </c>
      <c r="E10" s="1">
        <v>5011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A0078-7C12-42C5-88BC-CF129B022C79}">
  <dimension ref="A1:E10"/>
  <sheetViews>
    <sheetView workbookViewId="0">
      <selection sqref="A1:A1048576"/>
    </sheetView>
  </sheetViews>
  <sheetFormatPr baseColWidth="10" defaultRowHeight="14.4" x14ac:dyDescent="0.3"/>
  <cols>
    <col min="2" max="2" width="25.44140625" bestFit="1" customWidth="1"/>
    <col min="5" max="5" width="24.44140625" bestFit="1" customWidth="1"/>
  </cols>
  <sheetData>
    <row r="1" spans="1:5" x14ac:dyDescent="0.3">
      <c r="A1" t="s">
        <v>60</v>
      </c>
      <c r="B1" t="s">
        <v>27</v>
      </c>
      <c r="C1" t="s">
        <v>28</v>
      </c>
      <c r="D1" t="s">
        <v>29</v>
      </c>
      <c r="E1" t="s">
        <v>30</v>
      </c>
    </row>
    <row r="2" spans="1:5" x14ac:dyDescent="0.3">
      <c r="A2">
        <v>2016</v>
      </c>
      <c r="B2" s="1">
        <v>455630</v>
      </c>
      <c r="C2" s="1">
        <v>346314</v>
      </c>
      <c r="D2" s="1">
        <v>160750</v>
      </c>
      <c r="E2" s="1">
        <v>84385</v>
      </c>
    </row>
    <row r="3" spans="1:5" x14ac:dyDescent="0.3">
      <c r="A3">
        <v>2017</v>
      </c>
      <c r="B3" s="1">
        <v>452411</v>
      </c>
      <c r="C3" s="1">
        <v>339264</v>
      </c>
      <c r="D3" s="1">
        <v>164394</v>
      </c>
      <c r="E3" s="1">
        <v>93424</v>
      </c>
    </row>
    <row r="4" spans="1:5" x14ac:dyDescent="0.3">
      <c r="A4">
        <v>2018</v>
      </c>
      <c r="B4" s="1">
        <v>447857</v>
      </c>
      <c r="C4" s="1">
        <v>332984</v>
      </c>
      <c r="D4" s="1">
        <v>169016</v>
      </c>
      <c r="E4" s="1">
        <v>101362</v>
      </c>
    </row>
    <row r="5" spans="1:5" x14ac:dyDescent="0.3">
      <c r="A5">
        <v>2019</v>
      </c>
      <c r="B5" s="1">
        <v>439544</v>
      </c>
      <c r="C5" s="1">
        <v>326535</v>
      </c>
      <c r="D5" s="1">
        <v>177391</v>
      </c>
      <c r="E5" s="1">
        <v>105758</v>
      </c>
    </row>
    <row r="6" spans="1:5" x14ac:dyDescent="0.3">
      <c r="A6">
        <v>2020</v>
      </c>
      <c r="B6" s="1">
        <v>431889</v>
      </c>
      <c r="C6" s="1">
        <v>319848</v>
      </c>
      <c r="D6" s="1">
        <v>182414</v>
      </c>
      <c r="E6" s="1">
        <v>101397</v>
      </c>
    </row>
    <row r="7" spans="1:5" x14ac:dyDescent="0.3">
      <c r="A7">
        <v>2021</v>
      </c>
      <c r="B7">
        <v>422699</v>
      </c>
      <c r="C7">
        <v>305636</v>
      </c>
      <c r="D7">
        <v>182665</v>
      </c>
      <c r="E7">
        <v>91419</v>
      </c>
    </row>
    <row r="8" spans="1:5" x14ac:dyDescent="0.3">
      <c r="A8">
        <v>2022</v>
      </c>
      <c r="B8" s="1">
        <v>414317</v>
      </c>
      <c r="C8" s="1">
        <v>290154</v>
      </c>
      <c r="D8" s="1">
        <v>178901</v>
      </c>
      <c r="E8" s="1">
        <v>79306</v>
      </c>
    </row>
    <row r="9" spans="1:5" x14ac:dyDescent="0.3">
      <c r="A9">
        <v>2023</v>
      </c>
      <c r="B9" s="1">
        <v>413692</v>
      </c>
      <c r="C9" s="1">
        <v>287627</v>
      </c>
      <c r="D9" s="1">
        <v>177666</v>
      </c>
      <c r="E9" s="1">
        <v>72002</v>
      </c>
    </row>
    <row r="10" spans="1:5" x14ac:dyDescent="0.3">
      <c r="A10">
        <v>2024</v>
      </c>
      <c r="B10" s="1">
        <v>410806</v>
      </c>
      <c r="C10" s="1">
        <v>283480</v>
      </c>
      <c r="D10" s="1">
        <v>170994</v>
      </c>
      <c r="E10" s="1">
        <v>69674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8296B-65FE-4AC2-B92A-FF9BEF4C14A7}">
  <dimension ref="A1:I10"/>
  <sheetViews>
    <sheetView workbookViewId="0">
      <selection activeCell="H15" sqref="H15"/>
    </sheetView>
  </sheetViews>
  <sheetFormatPr baseColWidth="10" defaultRowHeight="14.4" x14ac:dyDescent="0.3"/>
  <cols>
    <col min="2" max="3" width="29.33203125" bestFit="1" customWidth="1"/>
    <col min="4" max="5" width="28.33203125" bestFit="1" customWidth="1"/>
    <col min="6" max="7" width="28.88671875" bestFit="1" customWidth="1"/>
    <col min="8" max="9" width="27.88671875" bestFit="1" customWidth="1"/>
  </cols>
  <sheetData>
    <row r="1" spans="1:9" x14ac:dyDescent="0.3">
      <c r="A1" t="s">
        <v>60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</row>
    <row r="2" spans="1:9" x14ac:dyDescent="0.3">
      <c r="A2">
        <v>2016</v>
      </c>
      <c r="B2" s="1">
        <v>53003</v>
      </c>
      <c r="C2" s="1">
        <v>28860</v>
      </c>
      <c r="D2" s="1">
        <v>7425</v>
      </c>
      <c r="E2" s="1">
        <v>2887</v>
      </c>
      <c r="F2" s="1">
        <v>184432</v>
      </c>
      <c r="G2" s="1">
        <v>155453</v>
      </c>
      <c r="H2" s="1">
        <v>82291</v>
      </c>
      <c r="I2" s="1">
        <v>42791</v>
      </c>
    </row>
    <row r="3" spans="1:9" x14ac:dyDescent="0.3">
      <c r="A3">
        <v>2017</v>
      </c>
      <c r="B3" s="1">
        <v>51742</v>
      </c>
      <c r="C3" s="1">
        <v>24781</v>
      </c>
      <c r="D3" s="1">
        <v>7249</v>
      </c>
      <c r="E3" s="1">
        <v>3690</v>
      </c>
      <c r="F3" s="1">
        <v>186917</v>
      </c>
      <c r="G3" s="1">
        <v>158750</v>
      </c>
      <c r="H3" s="1">
        <v>82211</v>
      </c>
      <c r="I3" s="1">
        <v>45580</v>
      </c>
    </row>
    <row r="4" spans="1:9" x14ac:dyDescent="0.3">
      <c r="A4">
        <v>2018</v>
      </c>
      <c r="B4" s="1">
        <v>51467</v>
      </c>
      <c r="C4" s="1">
        <v>23005</v>
      </c>
      <c r="D4" s="1">
        <v>8325</v>
      </c>
      <c r="E4" s="1">
        <v>5564</v>
      </c>
      <c r="F4" s="1">
        <v>191252</v>
      </c>
      <c r="G4" s="1">
        <v>161733</v>
      </c>
      <c r="H4" s="1">
        <v>81835</v>
      </c>
      <c r="I4" s="1">
        <v>48089</v>
      </c>
    </row>
    <row r="5" spans="1:9" x14ac:dyDescent="0.3">
      <c r="A5">
        <v>2019</v>
      </c>
      <c r="B5" s="1">
        <v>51848</v>
      </c>
      <c r="C5" s="1">
        <v>23149</v>
      </c>
      <c r="D5" s="1">
        <v>10881</v>
      </c>
      <c r="E5" s="1">
        <v>8315</v>
      </c>
      <c r="F5" s="1">
        <v>194722</v>
      </c>
      <c r="G5" s="1">
        <v>162990</v>
      </c>
      <c r="H5" s="1">
        <v>84409</v>
      </c>
      <c r="I5" s="1">
        <v>49595</v>
      </c>
    </row>
    <row r="6" spans="1:9" x14ac:dyDescent="0.3">
      <c r="A6">
        <v>2020</v>
      </c>
      <c r="B6" s="1">
        <v>54024</v>
      </c>
      <c r="C6" s="1">
        <v>25787</v>
      </c>
      <c r="D6" s="1">
        <v>15507</v>
      </c>
      <c r="E6" s="1">
        <v>12654</v>
      </c>
      <c r="F6" s="1">
        <v>196879</v>
      </c>
      <c r="G6" s="1">
        <v>159775</v>
      </c>
      <c r="H6" s="1">
        <v>87052</v>
      </c>
      <c r="I6" s="1">
        <v>49018</v>
      </c>
    </row>
    <row r="7" spans="1:9" x14ac:dyDescent="0.3">
      <c r="A7">
        <v>2021</v>
      </c>
      <c r="B7">
        <v>51829</v>
      </c>
      <c r="C7">
        <v>23481</v>
      </c>
      <c r="D7">
        <v>15783</v>
      </c>
      <c r="E7">
        <v>12235</v>
      </c>
      <c r="F7">
        <v>197883</v>
      </c>
      <c r="G7">
        <v>153665</v>
      </c>
      <c r="H7">
        <v>89341</v>
      </c>
      <c r="I7">
        <v>48413</v>
      </c>
    </row>
    <row r="8" spans="1:9" x14ac:dyDescent="0.3">
      <c r="A8">
        <v>2022</v>
      </c>
      <c r="B8" s="1">
        <v>48777</v>
      </c>
      <c r="C8" s="1">
        <v>20218</v>
      </c>
      <c r="D8" s="1">
        <v>14726</v>
      </c>
      <c r="E8" s="1">
        <v>11287</v>
      </c>
      <c r="F8" s="1">
        <v>199007</v>
      </c>
      <c r="G8" s="1">
        <v>147833</v>
      </c>
      <c r="H8" s="1">
        <v>90289</v>
      </c>
      <c r="I8" s="1">
        <v>46273</v>
      </c>
    </row>
    <row r="9" spans="1:9" x14ac:dyDescent="0.3">
      <c r="A9">
        <v>2023</v>
      </c>
      <c r="B9" s="1">
        <v>45691</v>
      </c>
      <c r="C9" s="1">
        <v>17284</v>
      </c>
      <c r="D9" s="1">
        <v>13069</v>
      </c>
      <c r="E9" s="1">
        <v>6666</v>
      </c>
      <c r="F9" s="1">
        <v>201296</v>
      </c>
      <c r="G9" s="1">
        <v>146005</v>
      </c>
      <c r="H9" s="1">
        <v>91425</v>
      </c>
      <c r="I9" s="1">
        <v>45814</v>
      </c>
    </row>
    <row r="10" spans="1:9" x14ac:dyDescent="0.3">
      <c r="A10">
        <v>2024</v>
      </c>
      <c r="B10" s="1">
        <v>37214</v>
      </c>
      <c r="C10" s="1">
        <v>15704</v>
      </c>
      <c r="D10" s="1">
        <v>11982</v>
      </c>
      <c r="E10" s="1">
        <v>3834</v>
      </c>
      <c r="F10" s="1">
        <v>207894</v>
      </c>
      <c r="G10" s="1">
        <v>150324</v>
      </c>
      <c r="H10" s="1">
        <v>94933</v>
      </c>
      <c r="I10" s="1">
        <v>49350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resumen</vt:lpstr>
      <vt:lpstr>Hoja1</vt:lpstr>
      <vt:lpstr>origen</vt:lpstr>
      <vt:lpstr>distintivos</vt:lpstr>
      <vt:lpstr>antiguedad media</vt:lpstr>
      <vt:lpstr>camiones por antiguedad</vt:lpstr>
      <vt:lpstr>furgonetas por antiguedad</vt:lpstr>
      <vt:lpstr>turismos por antiguedad</vt:lpstr>
      <vt:lpstr>motocicletas por año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Vanesa Pérez</dc:creator>
  <cp:lastModifiedBy>Vanesa Pérez</cp:lastModifiedBy>
  <dcterms:created xsi:type="dcterms:W3CDTF">2026-01-27T09:38:13Z</dcterms:created>
  <dcterms:modified xsi:type="dcterms:W3CDTF">2026-01-28T12:50:52Z</dcterms:modified>
</cp:coreProperties>
</file>