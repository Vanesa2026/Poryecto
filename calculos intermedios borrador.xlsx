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ere\Desktop\Especialitzacio\Proyecto\"/>
    </mc:Choice>
  </mc:AlternateContent>
  <xr:revisionPtr revIDLastSave="0" documentId="8_{89F62BE9-50AC-4A57-AC24-96F762D3B573}" xr6:coauthVersionLast="47" xr6:coauthVersionMax="47" xr10:uidLastSave="{00000000-0000-0000-0000-000000000000}"/>
  <bookViews>
    <workbookView xWindow="-120" yWindow="-120" windowWidth="29040" windowHeight="15720" xr2:uid="{ABA4DFD0-3AE0-49E6-8C1F-BA4B417B7052}"/>
  </bookViews>
  <sheets>
    <sheet name="tecnica_todoas" sheetId="1" r:id="rId1"/>
    <sheet name="furgonetas y camiones" sheetId="3" r:id="rId2"/>
    <sheet name="etiqueta" sheetId="2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3" l="1"/>
  <c r="H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17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2" i="3"/>
</calcChain>
</file>

<file path=xl/sharedStrings.xml><?xml version="1.0" encoding="utf-8"?>
<sst xmlns="http://schemas.openxmlformats.org/spreadsheetml/2006/main" count="20" uniqueCount="14">
  <si>
    <t>Años</t>
  </si>
  <si>
    <t>Turismos - Gasolina</t>
  </si>
  <si>
    <t>Turismos diesel</t>
  </si>
  <si>
    <t>TOTAL</t>
  </si>
  <si>
    <t>Turismos - Otros</t>
  </si>
  <si>
    <t>Camiones y
furgonetas</t>
  </si>
  <si>
    <t>Camiones y furgonetas gasolina</t>
  </si>
  <si>
    <t>Camiones y furgonetas diesel</t>
  </si>
  <si>
    <t>Año</t>
  </si>
  <si>
    <t>PARQUE FURGONETAS</t>
  </si>
  <si>
    <t>PARQUE CAMIONES</t>
  </si>
  <si>
    <t>Camiones y furgonetas OTROS</t>
  </si>
  <si>
    <t>Motocicletas</t>
  </si>
  <si>
    <t>Ciclomotores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</si>
</sst>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0"/>
    <numFmt numFmtId="165" formatCode="##,###,###,###,###,###,##0"/>
  </numFmts>
  <fonts count="3">
    <font>
      <sz val="11"/>
      <color theme="1"/>
      <name val="Calibri"/>
      <family val="2"/>
      <scheme val="minor"/>
    </font>
    <font>
      <b/>
      <sz val="9.5"/>
      <color rgb="FF112277"/>
      <name val="Albany AMT"/>
    </font>
    <font>
      <sz val="9.5"/>
      <color rgb="FF112277"/>
      <name val="Albany AMT"/>
    </font>
  </fonts>
  <fills count="4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B0B7BB"/>
      </left>
      <right style="thin">
        <color rgb="FFB0B7BB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165" fontId="0" fillId="3" borderId="2" xfId="0" applyNumberFormat="1" applyFill="1" applyBorder="1" applyAlignment="1">
      <alignment horizontal="right"/>
    </xf>
    <xf numFmtId="165" fontId="0" fillId="0" borderId="0" xfId="0" applyNumberFormat="1"/>
    <xf numFmtId="0" fontId="1" fillId="2" borderId="1" xfId="0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center" wrapText="1"/>
    </xf>
    <xf numFmtId="165" fontId="0" fillId="3" borderId="0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655D4-E1A6-41D1-AAA3-FB249F81A4A1}">
  <dimension ref="A1:I36"/>
  <sheetViews>
    <sheetView tabSelected="1" workbookViewId="0">
      <selection activeCell="L8" sqref="L8"/>
    </sheetView>
  </sheetViews>
  <sheetFormatPr baseColWidth="10" defaultRowHeight="15"/>
  <cols>
    <col min="1" max="1" width="12.42578125" bestFit="1" customWidth="1"/>
    <col min="2" max="2" width="20.7109375" bestFit="1" customWidth="1"/>
    <col min="3" max="3" width="14.85546875" bestFit="1" customWidth="1"/>
    <col min="4" max="4" width="15.42578125" bestFit="1" customWidth="1"/>
    <col min="5" max="5" width="23.85546875" customWidth="1"/>
  </cols>
  <sheetData>
    <row r="1" spans="1:9" ht="51.75">
      <c r="A1" s="1" t="s">
        <v>0</v>
      </c>
      <c r="B1" s="3" t="s">
        <v>1</v>
      </c>
      <c r="C1" s="3" t="s">
        <v>2</v>
      </c>
      <c r="D1" t="s">
        <v>4</v>
      </c>
      <c r="E1" s="6" t="s">
        <v>6</v>
      </c>
      <c r="F1" s="6" t="s">
        <v>7</v>
      </c>
      <c r="G1" s="6" t="s">
        <v>11</v>
      </c>
      <c r="H1" s="3" t="s">
        <v>12</v>
      </c>
      <c r="I1" s="3" t="s">
        <v>13</v>
      </c>
    </row>
    <row r="2" spans="1:9">
      <c r="A2" s="2">
        <v>1990</v>
      </c>
      <c r="B2" s="4">
        <v>10774894</v>
      </c>
      <c r="C2" s="4">
        <v>1220746</v>
      </c>
      <c r="E2" s="4">
        <v>842860</v>
      </c>
      <c r="F2" s="4">
        <v>1490068</v>
      </c>
      <c r="G2" s="4"/>
      <c r="H2" s="9"/>
      <c r="I2" s="9"/>
    </row>
    <row r="3" spans="1:9">
      <c r="A3" s="2">
        <v>1991</v>
      </c>
      <c r="B3" s="4">
        <v>11219624</v>
      </c>
      <c r="C3" s="4">
        <v>1317475</v>
      </c>
      <c r="E3" s="4">
        <v>879324</v>
      </c>
      <c r="F3" s="4">
        <v>1615902</v>
      </c>
      <c r="G3" s="4"/>
      <c r="H3" s="9"/>
      <c r="I3" s="9"/>
    </row>
    <row r="4" spans="1:9">
      <c r="A4" s="2">
        <v>1992</v>
      </c>
      <c r="B4" s="4">
        <v>11640667</v>
      </c>
      <c r="C4" s="4">
        <v>1461618</v>
      </c>
      <c r="E4" s="4">
        <v>910925</v>
      </c>
      <c r="F4" s="4">
        <v>1738671</v>
      </c>
      <c r="G4" s="4"/>
      <c r="H4" s="9"/>
      <c r="I4" s="9"/>
    </row>
    <row r="5" spans="1:9">
      <c r="A5" s="2">
        <v>1993</v>
      </c>
      <c r="B5" s="4">
        <v>11838632</v>
      </c>
      <c r="C5" s="4">
        <v>1602062</v>
      </c>
      <c r="E5" s="4">
        <v>922143</v>
      </c>
      <c r="F5" s="4">
        <v>1813001</v>
      </c>
      <c r="G5" s="4"/>
      <c r="H5" s="9"/>
      <c r="I5" s="9"/>
    </row>
    <row r="6" spans="1:9">
      <c r="A6" s="2">
        <v>1994</v>
      </c>
      <c r="B6" s="4">
        <v>11927546</v>
      </c>
      <c r="C6" s="4">
        <v>1806248</v>
      </c>
      <c r="E6" s="4">
        <v>919518</v>
      </c>
      <c r="F6" s="4">
        <v>1906229</v>
      </c>
      <c r="G6" s="4"/>
      <c r="H6" s="9"/>
      <c r="I6" s="9"/>
    </row>
    <row r="7" spans="1:9">
      <c r="A7" s="2">
        <v>1995</v>
      </c>
      <c r="B7" s="4">
        <v>12153133</v>
      </c>
      <c r="C7" s="4">
        <v>2059126</v>
      </c>
      <c r="E7" s="4">
        <v>916576</v>
      </c>
      <c r="F7" s="4">
        <v>2020189</v>
      </c>
      <c r="G7" s="4"/>
      <c r="H7" s="9"/>
      <c r="I7" s="9"/>
    </row>
    <row r="8" spans="1:9">
      <c r="A8" s="2">
        <v>1996</v>
      </c>
      <c r="B8" s="4">
        <v>12362457</v>
      </c>
      <c r="C8" s="4">
        <v>2391352</v>
      </c>
      <c r="E8" s="4">
        <v>905921</v>
      </c>
      <c r="F8" s="4">
        <v>2151426</v>
      </c>
      <c r="G8" s="4"/>
      <c r="H8" s="9"/>
      <c r="I8" s="9"/>
    </row>
    <row r="9" spans="1:9">
      <c r="A9" s="2">
        <v>1997</v>
      </c>
      <c r="B9" s="4">
        <v>12490612</v>
      </c>
      <c r="C9" s="4">
        <v>2806754</v>
      </c>
      <c r="E9" s="4">
        <v>891059</v>
      </c>
      <c r="F9" s="4">
        <v>2314915</v>
      </c>
      <c r="G9" s="4"/>
      <c r="H9" s="9"/>
      <c r="I9" s="9"/>
    </row>
    <row r="10" spans="1:9">
      <c r="A10" s="2">
        <v>1998</v>
      </c>
      <c r="B10" s="4">
        <v>12681210</v>
      </c>
      <c r="C10" s="4">
        <v>3368847</v>
      </c>
      <c r="E10" s="4">
        <v>878138</v>
      </c>
      <c r="F10" s="4">
        <v>2515308</v>
      </c>
      <c r="G10" s="4"/>
      <c r="H10" s="9"/>
      <c r="I10" s="9"/>
    </row>
    <row r="11" spans="1:9">
      <c r="A11" s="2">
        <v>1999</v>
      </c>
      <c r="B11" s="4">
        <v>12802978</v>
      </c>
      <c r="C11" s="4">
        <v>4044419</v>
      </c>
      <c r="E11" s="4">
        <v>858454</v>
      </c>
      <c r="F11" s="4">
        <v>2746518</v>
      </c>
      <c r="G11" s="4"/>
      <c r="H11" s="9"/>
      <c r="I11" s="9"/>
    </row>
    <row r="12" spans="1:9">
      <c r="A12" s="2">
        <v>2000</v>
      </c>
      <c r="B12" s="4">
        <v>12746971</v>
      </c>
      <c r="C12" s="4">
        <v>4702264</v>
      </c>
      <c r="E12" s="4">
        <v>831384</v>
      </c>
      <c r="F12" s="4">
        <v>2948837</v>
      </c>
      <c r="G12" s="4"/>
      <c r="H12" s="9"/>
      <c r="I12" s="9"/>
    </row>
    <row r="13" spans="1:9">
      <c r="A13" s="2">
        <v>2001</v>
      </c>
      <c r="B13" s="4">
        <v>12795735</v>
      </c>
      <c r="C13" s="4">
        <v>5355145</v>
      </c>
      <c r="E13" s="4">
        <v>812421</v>
      </c>
      <c r="F13" s="4">
        <v>3136580</v>
      </c>
      <c r="G13" s="4"/>
      <c r="H13" s="9"/>
      <c r="I13" s="9"/>
    </row>
    <row r="14" spans="1:9">
      <c r="A14" s="2">
        <v>2002</v>
      </c>
      <c r="B14" s="4">
        <v>12728713</v>
      </c>
      <c r="C14" s="4">
        <v>6003919</v>
      </c>
      <c r="E14" s="4">
        <v>789143</v>
      </c>
      <c r="F14" s="4">
        <v>3302732</v>
      </c>
      <c r="G14" s="4"/>
      <c r="H14" s="4">
        <v>1517208</v>
      </c>
      <c r="I14" s="4">
        <v>2044242</v>
      </c>
    </row>
    <row r="15" spans="1:9">
      <c r="A15" s="2">
        <v>2003</v>
      </c>
      <c r="B15" s="4">
        <v>12095876</v>
      </c>
      <c r="C15" s="4">
        <v>6592444</v>
      </c>
      <c r="E15" s="4">
        <v>749476</v>
      </c>
      <c r="F15" s="4">
        <v>3439434</v>
      </c>
      <c r="G15" s="4"/>
      <c r="H15" s="4">
        <v>1513526</v>
      </c>
      <c r="I15" s="4">
        <v>2143593</v>
      </c>
    </row>
    <row r="16" spans="1:9">
      <c r="A16" s="2">
        <v>2004</v>
      </c>
      <c r="B16" s="4">
        <v>12035097</v>
      </c>
      <c r="C16" s="4">
        <v>7506821</v>
      </c>
      <c r="E16" s="4">
        <v>737024</v>
      </c>
      <c r="F16" s="4">
        <v>3681015</v>
      </c>
      <c r="G16" s="4"/>
      <c r="H16" s="4">
        <v>1612082</v>
      </c>
      <c r="I16" s="4">
        <v>2242046</v>
      </c>
    </row>
    <row r="17" spans="1:9">
      <c r="A17" s="2">
        <v>2005</v>
      </c>
      <c r="B17" s="4">
        <v>11815652</v>
      </c>
      <c r="C17" s="4">
        <v>8434725</v>
      </c>
      <c r="E17" s="4">
        <v>715460</v>
      </c>
      <c r="F17" s="4">
        <v>3939953</v>
      </c>
      <c r="G17" s="4"/>
      <c r="H17" s="4">
        <v>1805827</v>
      </c>
      <c r="I17" s="4">
        <v>2311773</v>
      </c>
    </row>
    <row r="18" spans="1:9">
      <c r="A18" s="2">
        <v>2006</v>
      </c>
      <c r="B18" s="4">
        <v>11667433</v>
      </c>
      <c r="C18" s="4">
        <v>9380284</v>
      </c>
      <c r="D18" s="4">
        <v>4842</v>
      </c>
      <c r="E18" s="4">
        <v>696698</v>
      </c>
      <c r="F18" s="4">
        <v>4213186</v>
      </c>
      <c r="G18" s="4">
        <v>17044</v>
      </c>
      <c r="H18" s="4">
        <v>2058022</v>
      </c>
      <c r="I18" s="4">
        <v>2343124</v>
      </c>
    </row>
    <row r="19" spans="1:9">
      <c r="A19" s="2">
        <v>2007</v>
      </c>
      <c r="B19" s="4">
        <v>11500323</v>
      </c>
      <c r="C19" s="4">
        <v>10255430</v>
      </c>
      <c r="D19" s="4">
        <v>4421</v>
      </c>
      <c r="E19" s="4">
        <v>676058</v>
      </c>
      <c r="F19" s="4">
        <v>4463923</v>
      </c>
      <c r="G19" s="4">
        <v>15539</v>
      </c>
      <c r="H19" s="4">
        <v>2311346</v>
      </c>
      <c r="I19" s="4">
        <v>2430414</v>
      </c>
    </row>
    <row r="20" spans="1:9">
      <c r="A20" s="2">
        <v>2008</v>
      </c>
      <c r="B20" s="4">
        <v>11344609</v>
      </c>
      <c r="C20" s="4">
        <v>10796625</v>
      </c>
      <c r="D20" s="4">
        <v>4130</v>
      </c>
      <c r="E20" s="4">
        <v>653143</v>
      </c>
      <c r="F20" s="4">
        <v>4538399</v>
      </c>
      <c r="G20" s="4">
        <v>16634</v>
      </c>
      <c r="H20" s="4">
        <v>2500819</v>
      </c>
      <c r="I20" s="4">
        <v>2410685</v>
      </c>
    </row>
    <row r="21" spans="1:9">
      <c r="A21" s="2">
        <v>2009</v>
      </c>
      <c r="B21" s="4">
        <v>10900655</v>
      </c>
      <c r="C21" s="4">
        <v>11079034</v>
      </c>
      <c r="D21" s="4">
        <v>3796</v>
      </c>
      <c r="E21" s="4">
        <v>625434</v>
      </c>
      <c r="F21" s="4">
        <v>4509541</v>
      </c>
      <c r="G21" s="4">
        <v>25373</v>
      </c>
      <c r="H21" s="4">
        <v>2606674</v>
      </c>
      <c r="I21" s="4">
        <v>2352205</v>
      </c>
    </row>
    <row r="22" spans="1:9">
      <c r="A22" s="2">
        <v>2010</v>
      </c>
      <c r="B22" s="4">
        <v>10677003</v>
      </c>
      <c r="C22" s="4">
        <v>11466842</v>
      </c>
      <c r="D22" s="4">
        <v>3610</v>
      </c>
      <c r="E22" s="4">
        <v>602843</v>
      </c>
      <c r="F22" s="4">
        <v>4499419</v>
      </c>
      <c r="G22" s="4">
        <v>27154</v>
      </c>
      <c r="H22" s="4">
        <v>2707482</v>
      </c>
      <c r="I22" s="4">
        <v>2290207</v>
      </c>
    </row>
    <row r="23" spans="1:9">
      <c r="A23" s="2">
        <v>2011</v>
      </c>
      <c r="B23" s="4">
        <v>10510112</v>
      </c>
      <c r="C23" s="4">
        <v>11763255</v>
      </c>
      <c r="D23" s="4">
        <v>3877</v>
      </c>
      <c r="E23" s="4">
        <v>582725</v>
      </c>
      <c r="F23" s="4">
        <v>4476049</v>
      </c>
      <c r="G23" s="4">
        <v>28888</v>
      </c>
      <c r="H23" s="4">
        <v>2798043</v>
      </c>
      <c r="I23" s="4">
        <v>2229418</v>
      </c>
    </row>
    <row r="24" spans="1:9">
      <c r="A24" s="2">
        <v>2012</v>
      </c>
      <c r="B24" s="4">
        <v>10305113</v>
      </c>
      <c r="C24" s="4">
        <v>11937569</v>
      </c>
      <c r="D24" s="4">
        <v>4846</v>
      </c>
      <c r="E24" s="4">
        <v>568587</v>
      </c>
      <c r="F24" s="4">
        <v>4413826</v>
      </c>
      <c r="G24" s="4">
        <v>33816</v>
      </c>
      <c r="H24" s="4">
        <v>2852297</v>
      </c>
      <c r="I24" s="4">
        <v>2169668</v>
      </c>
    </row>
    <row r="25" spans="1:9">
      <c r="A25" s="2">
        <v>2013</v>
      </c>
      <c r="B25" s="4">
        <v>9956308</v>
      </c>
      <c r="C25" s="4">
        <v>12061601</v>
      </c>
      <c r="D25" s="4">
        <v>6629</v>
      </c>
      <c r="E25" s="4">
        <v>541751</v>
      </c>
      <c r="F25" s="4">
        <v>4342980</v>
      </c>
      <c r="G25" s="4">
        <v>38456</v>
      </c>
      <c r="H25" s="4">
        <v>2891204</v>
      </c>
      <c r="I25" s="4">
        <v>2107116</v>
      </c>
    </row>
    <row r="26" spans="1:9">
      <c r="A26" s="2">
        <v>2014</v>
      </c>
      <c r="B26" s="4">
        <v>9695703</v>
      </c>
      <c r="C26" s="4">
        <v>12325894</v>
      </c>
      <c r="D26" s="4">
        <v>7915</v>
      </c>
      <c r="E26" s="4">
        <v>515215</v>
      </c>
      <c r="F26" s="4">
        <v>4321086</v>
      </c>
      <c r="G26" s="4">
        <v>44929</v>
      </c>
      <c r="H26" s="4">
        <v>2972165</v>
      </c>
      <c r="I26" s="4">
        <v>2061044</v>
      </c>
    </row>
    <row r="27" spans="1:9">
      <c r="A27" s="2">
        <v>2015</v>
      </c>
      <c r="B27" s="4">
        <v>9677594</v>
      </c>
      <c r="C27" s="4">
        <v>12665275</v>
      </c>
      <c r="D27" s="4">
        <v>12680</v>
      </c>
      <c r="E27" s="4">
        <v>503728</v>
      </c>
      <c r="F27" s="4">
        <v>4343585</v>
      </c>
      <c r="G27" s="4">
        <v>44769</v>
      </c>
      <c r="H27" s="4">
        <v>3079463</v>
      </c>
      <c r="I27" s="4">
        <v>2023211</v>
      </c>
    </row>
    <row r="28" spans="1:9">
      <c r="A28" s="2">
        <v>2016</v>
      </c>
      <c r="B28" s="4">
        <v>9820553</v>
      </c>
      <c r="C28" s="4">
        <v>13038663</v>
      </c>
      <c r="D28" s="4">
        <v>17614</v>
      </c>
      <c r="E28" s="4">
        <v>495458</v>
      </c>
      <c r="F28" s="4">
        <v>4378199</v>
      </c>
      <c r="G28" s="4">
        <v>52950</v>
      </c>
      <c r="H28" s="4">
        <v>3211474</v>
      </c>
      <c r="I28" s="4">
        <v>1987470</v>
      </c>
    </row>
    <row r="29" spans="1:9">
      <c r="A29" s="2">
        <v>2017</v>
      </c>
      <c r="B29" s="4">
        <v>10102654</v>
      </c>
      <c r="C29" s="4">
        <v>13367879</v>
      </c>
      <c r="D29" s="4">
        <v>29868</v>
      </c>
      <c r="E29" s="4">
        <v>489708</v>
      </c>
      <c r="F29" s="4">
        <v>4426541</v>
      </c>
      <c r="G29" s="4">
        <v>71433</v>
      </c>
      <c r="H29" s="4">
        <v>3327048</v>
      </c>
      <c r="I29" s="4">
        <v>1961523</v>
      </c>
    </row>
    <row r="30" spans="1:9">
      <c r="A30" s="2">
        <v>2018</v>
      </c>
      <c r="B30" s="4">
        <v>10507650</v>
      </c>
      <c r="C30" s="4">
        <v>13501540</v>
      </c>
      <c r="D30" s="4">
        <v>64961</v>
      </c>
      <c r="E30" s="4">
        <v>488975</v>
      </c>
      <c r="F30" s="4">
        <v>4478050</v>
      </c>
      <c r="G30" s="4">
        <v>117433</v>
      </c>
      <c r="H30" s="4">
        <v>3459722</v>
      </c>
      <c r="I30" s="4">
        <v>1933445</v>
      </c>
    </row>
    <row r="31" spans="1:9">
      <c r="A31" s="2">
        <v>2019</v>
      </c>
      <c r="B31" s="4">
        <v>10939069</v>
      </c>
      <c r="C31" s="4">
        <v>13510143</v>
      </c>
      <c r="D31" s="4">
        <v>108914</v>
      </c>
      <c r="E31" s="4">
        <v>488872</v>
      </c>
      <c r="F31" s="4">
        <v>4504394</v>
      </c>
      <c r="G31" s="4">
        <v>178637</v>
      </c>
      <c r="H31" s="4">
        <v>3607226</v>
      </c>
      <c r="I31" s="4">
        <v>1908492</v>
      </c>
    </row>
    <row r="32" spans="1:9">
      <c r="A32" s="2">
        <v>2020</v>
      </c>
      <c r="B32" s="4">
        <v>11126944</v>
      </c>
      <c r="C32" s="4">
        <v>13451079</v>
      </c>
      <c r="D32" s="4">
        <v>138875</v>
      </c>
      <c r="E32" s="4">
        <v>488441</v>
      </c>
      <c r="F32" s="4">
        <v>4514742</v>
      </c>
      <c r="G32" s="4">
        <v>222242</v>
      </c>
      <c r="H32" s="4">
        <v>3735920</v>
      </c>
      <c r="I32" s="4">
        <v>1891754</v>
      </c>
    </row>
    <row r="33" spans="1:9">
      <c r="A33" s="2">
        <v>2021</v>
      </c>
      <c r="B33" s="4">
        <v>11413242</v>
      </c>
      <c r="C33" s="4">
        <v>13346381</v>
      </c>
      <c r="D33" s="4">
        <v>181346</v>
      </c>
      <c r="E33" s="4">
        <v>488927</v>
      </c>
      <c r="F33" s="4">
        <v>4525981</v>
      </c>
      <c r="G33" s="4">
        <v>278305</v>
      </c>
      <c r="H33" s="4">
        <v>3866220</v>
      </c>
      <c r="I33" s="4">
        <v>1868056</v>
      </c>
    </row>
    <row r="34" spans="1:9">
      <c r="A34" s="2">
        <v>2022</v>
      </c>
      <c r="B34" s="4">
        <v>11750799</v>
      </c>
      <c r="C34" s="4">
        <v>13245872</v>
      </c>
      <c r="D34" s="4">
        <v>225883</v>
      </c>
      <c r="E34" s="4">
        <v>492880</v>
      </c>
      <c r="F34" s="4">
        <v>4541506</v>
      </c>
      <c r="G34" s="4">
        <v>339980</v>
      </c>
      <c r="H34" s="4">
        <v>4006804</v>
      </c>
      <c r="I34" s="4">
        <v>1842501</v>
      </c>
    </row>
    <row r="35" spans="1:9">
      <c r="A35" s="2">
        <v>2023</v>
      </c>
      <c r="B35" s="4">
        <v>11943484</v>
      </c>
      <c r="C35" s="4">
        <v>13105719</v>
      </c>
      <c r="D35" s="4">
        <v>307391</v>
      </c>
      <c r="E35" s="4">
        <v>496380</v>
      </c>
      <c r="F35" s="4">
        <v>4603119</v>
      </c>
      <c r="G35" s="4">
        <v>439111</v>
      </c>
      <c r="H35" s="4">
        <v>4162850</v>
      </c>
      <c r="I35" s="4">
        <v>1815623</v>
      </c>
    </row>
    <row r="36" spans="1:9">
      <c r="A36" s="2">
        <v>2024</v>
      </c>
      <c r="B36" s="4">
        <v>11935047</v>
      </c>
      <c r="C36" s="4">
        <v>12904536</v>
      </c>
      <c r="D36" s="4">
        <v>404948</v>
      </c>
      <c r="E36" s="4">
        <v>503952</v>
      </c>
      <c r="F36" s="4">
        <v>4643516</v>
      </c>
      <c r="G36" s="4">
        <v>553817</v>
      </c>
      <c r="H36" s="4">
        <v>4338881</v>
      </c>
      <c r="I36" s="4">
        <v>1620708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8C80-8676-4BF2-BC88-1F19CC7B5709}">
  <dimension ref="A1:K36"/>
  <sheetViews>
    <sheetView workbookViewId="0">
      <selection activeCell="P13" sqref="P13"/>
    </sheetView>
  </sheetViews>
  <sheetFormatPr baseColWidth="10" defaultRowHeight="15"/>
  <cols>
    <col min="1" max="1" width="8.42578125" customWidth="1"/>
    <col min="2" max="2" width="23.85546875" customWidth="1"/>
  </cols>
  <sheetData>
    <row r="1" spans="1:11" ht="51.75">
      <c r="A1" s="1" t="s">
        <v>8</v>
      </c>
      <c r="B1" s="6" t="s">
        <v>6</v>
      </c>
      <c r="C1" s="6" t="s">
        <v>7</v>
      </c>
      <c r="D1" s="6" t="s">
        <v>11</v>
      </c>
      <c r="E1" s="6" t="s">
        <v>5</v>
      </c>
      <c r="F1" s="3" t="s">
        <v>12</v>
      </c>
      <c r="G1" s="3" t="s">
        <v>13</v>
      </c>
      <c r="H1" s="8" t="s">
        <v>3</v>
      </c>
      <c r="I1" s="8" t="s">
        <v>9</v>
      </c>
      <c r="J1" s="8" t="s">
        <v>10</v>
      </c>
      <c r="K1" s="8" t="s">
        <v>3</v>
      </c>
    </row>
    <row r="2" spans="1:11">
      <c r="A2" s="7">
        <v>1990</v>
      </c>
      <c r="B2" s="4">
        <v>842860</v>
      </c>
      <c r="C2" s="4">
        <v>1490068</v>
      </c>
      <c r="D2" s="4"/>
      <c r="E2" s="4">
        <v>2332928</v>
      </c>
      <c r="F2" s="9"/>
      <c r="G2" s="9"/>
      <c r="H2" s="5">
        <f>+SUM(B2:C2)</f>
        <v>2332928</v>
      </c>
    </row>
    <row r="3" spans="1:11">
      <c r="A3" s="7">
        <v>1991</v>
      </c>
      <c r="B3" s="4">
        <v>879324</v>
      </c>
      <c r="C3" s="4">
        <v>1615902</v>
      </c>
      <c r="D3" s="4"/>
      <c r="E3" s="4">
        <v>2495226</v>
      </c>
      <c r="F3" s="9"/>
      <c r="G3" s="9"/>
      <c r="H3" s="5">
        <f>+SUM(B3:C3)</f>
        <v>2495226</v>
      </c>
    </row>
    <row r="4" spans="1:11">
      <c r="A4" s="7">
        <v>1992</v>
      </c>
      <c r="B4" s="4">
        <v>910925</v>
      </c>
      <c r="C4" s="4">
        <v>1738671</v>
      </c>
      <c r="D4" s="4"/>
      <c r="E4" s="4">
        <v>2649596</v>
      </c>
      <c r="F4" s="9"/>
      <c r="G4" s="9"/>
      <c r="H4" s="5">
        <f>+SUM(B4:C4)</f>
        <v>2649596</v>
      </c>
    </row>
    <row r="5" spans="1:11">
      <c r="A5" s="7">
        <v>1993</v>
      </c>
      <c r="B5" s="4">
        <v>922143</v>
      </c>
      <c r="C5" s="4">
        <v>1813001</v>
      </c>
      <c r="D5" s="4"/>
      <c r="E5" s="4">
        <v>2735144</v>
      </c>
      <c r="F5" s="9"/>
      <c r="G5" s="9"/>
      <c r="H5" s="5">
        <f>+SUM(B5:C5)</f>
        <v>2735144</v>
      </c>
    </row>
    <row r="6" spans="1:11">
      <c r="A6" s="7">
        <v>1994</v>
      </c>
      <c r="B6" s="4">
        <v>919518</v>
      </c>
      <c r="C6" s="4">
        <v>1906229</v>
      </c>
      <c r="D6" s="4"/>
      <c r="E6" s="4">
        <v>2825747</v>
      </c>
      <c r="F6" s="9"/>
      <c r="G6" s="9"/>
      <c r="H6" s="5">
        <f>+SUM(B6:C6)</f>
        <v>2825747</v>
      </c>
    </row>
    <row r="7" spans="1:11">
      <c r="A7" s="7">
        <v>1995</v>
      </c>
      <c r="B7" s="4">
        <v>916576</v>
      </c>
      <c r="C7" s="4">
        <v>2020189</v>
      </c>
      <c r="D7" s="4"/>
      <c r="E7" s="4">
        <v>2936765</v>
      </c>
      <c r="F7" s="9"/>
      <c r="G7" s="9"/>
      <c r="H7" s="5">
        <f>+SUM(B7:C7)</f>
        <v>2936765</v>
      </c>
    </row>
    <row r="8" spans="1:11">
      <c r="A8" s="7">
        <v>1996</v>
      </c>
      <c r="B8" s="4">
        <v>905921</v>
      </c>
      <c r="C8" s="4">
        <v>2151426</v>
      </c>
      <c r="D8" s="4"/>
      <c r="E8" s="4">
        <v>3057347</v>
      </c>
      <c r="F8" s="9"/>
      <c r="G8" s="9"/>
      <c r="H8" s="5">
        <f>+SUM(B8:C8)</f>
        <v>3057347</v>
      </c>
    </row>
    <row r="9" spans="1:11">
      <c r="A9" s="7">
        <v>1997</v>
      </c>
      <c r="B9" s="4">
        <v>891059</v>
      </c>
      <c r="C9" s="4">
        <v>2314915</v>
      </c>
      <c r="D9" s="4"/>
      <c r="E9" s="4">
        <v>3205974</v>
      </c>
      <c r="F9" s="9"/>
      <c r="G9" s="9"/>
      <c r="H9" s="5">
        <f>+SUM(B9:C9)</f>
        <v>3205974</v>
      </c>
    </row>
    <row r="10" spans="1:11">
      <c r="A10" s="7">
        <v>1998</v>
      </c>
      <c r="B10" s="4">
        <v>878138</v>
      </c>
      <c r="C10" s="4">
        <v>2515308</v>
      </c>
      <c r="D10" s="4"/>
      <c r="E10" s="4">
        <v>3393446</v>
      </c>
      <c r="F10" s="9"/>
      <c r="G10" s="9"/>
      <c r="H10" s="5">
        <f>+SUM(B10:C10)</f>
        <v>3393446</v>
      </c>
    </row>
    <row r="11" spans="1:11">
      <c r="A11" s="7">
        <v>1999</v>
      </c>
      <c r="B11" s="4">
        <v>858454</v>
      </c>
      <c r="C11" s="4">
        <v>2746518</v>
      </c>
      <c r="D11" s="4"/>
      <c r="E11" s="4">
        <v>3604972</v>
      </c>
      <c r="F11" s="9"/>
      <c r="G11" s="9"/>
      <c r="H11" s="5">
        <f>+SUM(B11:C11)</f>
        <v>3604972</v>
      </c>
    </row>
    <row r="12" spans="1:11">
      <c r="A12" s="7">
        <v>2000</v>
      </c>
      <c r="B12" s="4">
        <v>831384</v>
      </c>
      <c r="C12" s="4">
        <v>2948837</v>
      </c>
      <c r="D12" s="4"/>
      <c r="E12" s="4">
        <v>3780221</v>
      </c>
      <c r="F12" s="9"/>
      <c r="G12" s="9"/>
      <c r="H12" s="5">
        <f>+SUM(B12:C12)</f>
        <v>3780221</v>
      </c>
    </row>
    <row r="13" spans="1:11">
      <c r="A13" s="7">
        <v>2001</v>
      </c>
      <c r="B13" s="4">
        <v>812421</v>
      </c>
      <c r="C13" s="4">
        <v>3136580</v>
      </c>
      <c r="D13" s="4"/>
      <c r="E13" s="4">
        <v>3949001</v>
      </c>
      <c r="F13" s="9"/>
      <c r="G13" s="9"/>
      <c r="H13" s="5">
        <f>+SUM(B13:C13)</f>
        <v>3949001</v>
      </c>
    </row>
    <row r="14" spans="1:11">
      <c r="A14" s="7">
        <v>2002</v>
      </c>
      <c r="B14" s="4">
        <v>789143</v>
      </c>
      <c r="C14" s="4">
        <v>3302732</v>
      </c>
      <c r="D14" s="4"/>
      <c r="E14" s="4">
        <v>4091875</v>
      </c>
      <c r="F14" s="4">
        <v>1517208</v>
      </c>
      <c r="G14" s="4">
        <v>2044242</v>
      </c>
      <c r="H14" s="5">
        <f>+SUM(B14:C14)</f>
        <v>4091875</v>
      </c>
    </row>
    <row r="15" spans="1:11">
      <c r="A15" s="7">
        <v>2003</v>
      </c>
      <c r="B15" s="4">
        <v>749476</v>
      </c>
      <c r="C15" s="4">
        <v>3439434</v>
      </c>
      <c r="D15" s="4"/>
      <c r="E15" s="4">
        <v>4188910</v>
      </c>
      <c r="F15" s="4">
        <v>1513526</v>
      </c>
      <c r="G15" s="4">
        <v>2143593</v>
      </c>
      <c r="H15" s="5">
        <f>+SUM(B15:C15)</f>
        <v>4188910</v>
      </c>
    </row>
    <row r="16" spans="1:11">
      <c r="A16" s="7">
        <v>2004</v>
      </c>
      <c r="B16" s="4">
        <v>737024</v>
      </c>
      <c r="C16" s="4">
        <v>3681015</v>
      </c>
      <c r="D16" s="4"/>
      <c r="E16" s="4">
        <v>4418039</v>
      </c>
      <c r="F16" s="4">
        <v>1612082</v>
      </c>
      <c r="G16" s="4">
        <v>2242046</v>
      </c>
      <c r="H16" s="5">
        <f>+SUM(B16:C16)</f>
        <v>4418039</v>
      </c>
    </row>
    <row r="17" spans="1:11">
      <c r="A17" s="7">
        <v>2005</v>
      </c>
      <c r="B17" s="4">
        <v>715460</v>
      </c>
      <c r="C17" s="4">
        <v>3939953</v>
      </c>
      <c r="D17" s="4"/>
      <c r="E17" s="4">
        <v>4655413</v>
      </c>
      <c r="F17" s="4">
        <v>1805827</v>
      </c>
      <c r="G17" s="4">
        <v>2311773</v>
      </c>
      <c r="H17" s="5">
        <f>+SUM(B17:C17)</f>
        <v>4655413</v>
      </c>
      <c r="I17" s="4">
        <v>2364471</v>
      </c>
      <c r="J17" s="4">
        <v>2290942</v>
      </c>
      <c r="K17" s="5">
        <f>+SUM(I17:J17)</f>
        <v>4655413</v>
      </c>
    </row>
    <row r="18" spans="1:11">
      <c r="A18" s="7">
        <v>2006</v>
      </c>
      <c r="B18" s="4">
        <v>696698</v>
      </c>
      <c r="C18" s="4">
        <v>4213186</v>
      </c>
      <c r="D18" s="4">
        <v>17044</v>
      </c>
      <c r="E18" s="4">
        <v>4910257</v>
      </c>
      <c r="F18" s="4">
        <v>2058022</v>
      </c>
      <c r="G18" s="4">
        <v>2343124</v>
      </c>
      <c r="H18" s="5">
        <f>+SUM(B18:C18)</f>
        <v>4909884</v>
      </c>
      <c r="I18" s="4">
        <v>2402937</v>
      </c>
      <c r="J18" s="4">
        <v>2507320</v>
      </c>
      <c r="K18" s="5">
        <f t="shared" ref="K18:K36" si="0">+SUM(I18:J18)</f>
        <v>4910257</v>
      </c>
    </row>
    <row r="19" spans="1:11">
      <c r="A19" s="7">
        <v>2007</v>
      </c>
      <c r="B19" s="4">
        <v>676058</v>
      </c>
      <c r="C19" s="4">
        <v>4463923</v>
      </c>
      <c r="D19" s="4">
        <v>15539</v>
      </c>
      <c r="E19" s="4">
        <v>5140586</v>
      </c>
      <c r="F19" s="4">
        <v>2311346</v>
      </c>
      <c r="G19" s="4">
        <v>2430414</v>
      </c>
      <c r="H19" s="5">
        <f>+SUM(B19:C19)</f>
        <v>5139981</v>
      </c>
      <c r="I19" s="4">
        <v>2435706</v>
      </c>
      <c r="J19" s="4">
        <v>2704880</v>
      </c>
      <c r="K19" s="5">
        <f t="shared" si="0"/>
        <v>5140586</v>
      </c>
    </row>
    <row r="20" spans="1:11">
      <c r="A20" s="7">
        <v>2008</v>
      </c>
      <c r="B20" s="4">
        <v>653143</v>
      </c>
      <c r="C20" s="4">
        <v>4538399</v>
      </c>
      <c r="D20" s="4">
        <v>16634</v>
      </c>
      <c r="E20" s="4">
        <v>5192219</v>
      </c>
      <c r="F20" s="4">
        <v>2500819</v>
      </c>
      <c r="G20" s="4">
        <v>2410685</v>
      </c>
      <c r="H20" s="5">
        <f>+SUM(B20:C20)</f>
        <v>5191542</v>
      </c>
      <c r="I20" s="4">
        <v>2421911</v>
      </c>
      <c r="J20" s="4">
        <v>2770308</v>
      </c>
      <c r="K20" s="5">
        <f t="shared" si="0"/>
        <v>5192219</v>
      </c>
    </row>
    <row r="21" spans="1:11">
      <c r="A21" s="7">
        <v>2009</v>
      </c>
      <c r="B21" s="4">
        <v>625434</v>
      </c>
      <c r="C21" s="4">
        <v>4509541</v>
      </c>
      <c r="D21" s="4">
        <v>25373</v>
      </c>
      <c r="E21" s="4">
        <v>5136214</v>
      </c>
      <c r="F21" s="4">
        <v>2606674</v>
      </c>
      <c r="G21" s="4">
        <v>2352205</v>
      </c>
      <c r="H21" s="5">
        <f>+SUM(B21:C21)</f>
        <v>5134975</v>
      </c>
      <c r="I21" s="4">
        <v>2364279</v>
      </c>
      <c r="J21" s="4">
        <v>2771935</v>
      </c>
      <c r="K21" s="5">
        <f t="shared" si="0"/>
        <v>5136214</v>
      </c>
    </row>
    <row r="22" spans="1:11">
      <c r="A22" s="7">
        <v>2010</v>
      </c>
      <c r="B22" s="4">
        <v>602843</v>
      </c>
      <c r="C22" s="4">
        <v>4499419</v>
      </c>
      <c r="D22" s="4">
        <v>27154</v>
      </c>
      <c r="E22" s="4">
        <v>5103980</v>
      </c>
      <c r="F22" s="4">
        <v>2707482</v>
      </c>
      <c r="G22" s="4">
        <v>2290207</v>
      </c>
      <c r="H22" s="5">
        <f>+SUM(B22:C22)</f>
        <v>5102262</v>
      </c>
      <c r="I22" s="4">
        <v>2333083</v>
      </c>
      <c r="J22" s="4">
        <v>2770897</v>
      </c>
      <c r="K22" s="5">
        <f t="shared" si="0"/>
        <v>5103980</v>
      </c>
    </row>
    <row r="23" spans="1:11">
      <c r="A23" s="7">
        <v>2011</v>
      </c>
      <c r="B23" s="4">
        <v>582725</v>
      </c>
      <c r="C23" s="4">
        <v>4476049</v>
      </c>
      <c r="D23" s="4">
        <v>28888</v>
      </c>
      <c r="E23" s="4">
        <v>5060791</v>
      </c>
      <c r="F23" s="4">
        <v>2798043</v>
      </c>
      <c r="G23" s="4">
        <v>2229418</v>
      </c>
      <c r="H23" s="5">
        <f>+SUM(B23:C23)</f>
        <v>5058774</v>
      </c>
      <c r="I23" s="4">
        <v>2314595</v>
      </c>
      <c r="J23" s="4">
        <v>2752196</v>
      </c>
      <c r="K23" s="5">
        <f t="shared" si="0"/>
        <v>5066791</v>
      </c>
    </row>
    <row r="24" spans="1:11">
      <c r="A24" s="7">
        <v>2012</v>
      </c>
      <c r="B24" s="4">
        <v>568587</v>
      </c>
      <c r="C24" s="4">
        <v>4413826</v>
      </c>
      <c r="D24" s="4">
        <v>33816</v>
      </c>
      <c r="E24" s="4">
        <v>4984722</v>
      </c>
      <c r="F24" s="4">
        <v>2852297</v>
      </c>
      <c r="G24" s="4">
        <v>2169668</v>
      </c>
      <c r="H24" s="5">
        <f>+SUM(B24:C24)</f>
        <v>4982413</v>
      </c>
      <c r="I24" s="4">
        <v>2287818</v>
      </c>
      <c r="J24" s="4">
        <v>2696904</v>
      </c>
      <c r="K24" s="5">
        <f t="shared" si="0"/>
        <v>4984722</v>
      </c>
    </row>
    <row r="25" spans="1:11">
      <c r="A25" s="7">
        <v>2013</v>
      </c>
      <c r="B25" s="4">
        <v>541751</v>
      </c>
      <c r="C25" s="4">
        <v>4342980</v>
      </c>
      <c r="D25" s="4">
        <v>38456</v>
      </c>
      <c r="E25" s="4">
        <v>4887352</v>
      </c>
      <c r="F25" s="4">
        <v>2891204</v>
      </c>
      <c r="G25" s="4">
        <v>2107116</v>
      </c>
      <c r="H25" s="5">
        <f>+SUM(B25:C25)</f>
        <v>4884731</v>
      </c>
      <c r="I25" s="4">
        <v>2244116</v>
      </c>
      <c r="J25" s="4">
        <v>2643236</v>
      </c>
      <c r="K25" s="5">
        <f t="shared" si="0"/>
        <v>4887352</v>
      </c>
    </row>
    <row r="26" spans="1:11">
      <c r="A26" s="7">
        <v>2014</v>
      </c>
      <c r="B26" s="4">
        <v>515215</v>
      </c>
      <c r="C26" s="4">
        <v>4321086</v>
      </c>
      <c r="D26" s="4">
        <v>44929</v>
      </c>
      <c r="E26" s="4">
        <v>4839484</v>
      </c>
      <c r="F26" s="4">
        <v>2972165</v>
      </c>
      <c r="G26" s="4">
        <v>2061044</v>
      </c>
      <c r="H26" s="5">
        <f>+SUM(B26:C26)</f>
        <v>4836301</v>
      </c>
      <c r="I26" s="4">
        <v>2230376</v>
      </c>
      <c r="J26" s="4">
        <v>2609108</v>
      </c>
      <c r="K26" s="5">
        <f t="shared" si="0"/>
        <v>4839484</v>
      </c>
    </row>
    <row r="27" spans="1:11">
      <c r="A27" s="7">
        <v>2015</v>
      </c>
      <c r="B27" s="4">
        <v>503728</v>
      </c>
      <c r="C27" s="4">
        <v>4343585</v>
      </c>
      <c r="D27" s="4">
        <v>44769</v>
      </c>
      <c r="E27" s="4">
        <v>4851518</v>
      </c>
      <c r="F27" s="4">
        <v>3079463</v>
      </c>
      <c r="G27" s="4">
        <v>2023211</v>
      </c>
      <c r="H27" s="5">
        <f>+SUM(B27:C27)</f>
        <v>4847313</v>
      </c>
      <c r="I27" s="4">
        <v>2260371</v>
      </c>
      <c r="J27" s="4">
        <v>2591147</v>
      </c>
      <c r="K27" s="5">
        <f t="shared" si="0"/>
        <v>4851518</v>
      </c>
    </row>
    <row r="28" spans="1:11">
      <c r="A28" s="7">
        <v>2016</v>
      </c>
      <c r="B28" s="4">
        <v>495458</v>
      </c>
      <c r="C28" s="4">
        <v>4378199</v>
      </c>
      <c r="D28" s="4">
        <v>52950</v>
      </c>
      <c r="E28" s="4">
        <v>4879480</v>
      </c>
      <c r="F28" s="4">
        <v>3211474</v>
      </c>
      <c r="G28" s="4">
        <v>1987470</v>
      </c>
      <c r="H28" s="5">
        <f>+SUM(B28:C28)</f>
        <v>4873657</v>
      </c>
      <c r="I28" s="4">
        <v>2305271</v>
      </c>
      <c r="J28" s="4">
        <v>2574209</v>
      </c>
      <c r="K28" s="5">
        <f t="shared" si="0"/>
        <v>4879480</v>
      </c>
    </row>
    <row r="29" spans="1:11">
      <c r="A29" s="7">
        <v>2017</v>
      </c>
      <c r="B29" s="4">
        <v>489708</v>
      </c>
      <c r="C29" s="4">
        <v>4426541</v>
      </c>
      <c r="D29" s="4">
        <v>71433</v>
      </c>
      <c r="E29" s="4">
        <v>4924476</v>
      </c>
      <c r="F29" s="4">
        <v>3327048</v>
      </c>
      <c r="G29" s="4">
        <v>1961523</v>
      </c>
      <c r="H29" s="5">
        <f>+SUM(B29:C29)</f>
        <v>4916249</v>
      </c>
      <c r="I29" s="4">
        <v>2338033</v>
      </c>
      <c r="J29" s="4">
        <v>2586443</v>
      </c>
      <c r="K29" s="5">
        <f t="shared" si="0"/>
        <v>4924476</v>
      </c>
    </row>
    <row r="30" spans="1:11">
      <c r="A30" s="7">
        <v>2018</v>
      </c>
      <c r="B30" s="4">
        <v>488975</v>
      </c>
      <c r="C30" s="4">
        <v>4478050</v>
      </c>
      <c r="D30" s="4">
        <v>117433</v>
      </c>
      <c r="E30" s="4">
        <v>4980911</v>
      </c>
      <c r="F30" s="4">
        <v>3459722</v>
      </c>
      <c r="G30" s="4">
        <v>1933445</v>
      </c>
      <c r="H30" s="5">
        <f>+SUM(B30:C30)</f>
        <v>4967025</v>
      </c>
      <c r="I30" s="4">
        <v>2406518</v>
      </c>
      <c r="J30" s="4">
        <v>2574393</v>
      </c>
      <c r="K30" s="5">
        <f t="shared" si="0"/>
        <v>4980911</v>
      </c>
    </row>
    <row r="31" spans="1:11">
      <c r="A31" s="7">
        <v>2019</v>
      </c>
      <c r="B31" s="4">
        <v>488872</v>
      </c>
      <c r="C31" s="4">
        <v>4504394</v>
      </c>
      <c r="D31" s="4">
        <v>178637</v>
      </c>
      <c r="E31" s="4">
        <v>5015973</v>
      </c>
      <c r="F31" s="4">
        <v>3607226</v>
      </c>
      <c r="G31" s="4">
        <v>1908492</v>
      </c>
      <c r="H31" s="5">
        <f>+SUM(B31:C31)</f>
        <v>4993266</v>
      </c>
      <c r="I31" s="4">
        <v>2467487</v>
      </c>
      <c r="J31" s="4">
        <v>2548486</v>
      </c>
      <c r="K31" s="5">
        <f t="shared" si="0"/>
        <v>5015973</v>
      </c>
    </row>
    <row r="32" spans="1:11">
      <c r="A32" s="7">
        <v>2020</v>
      </c>
      <c r="B32" s="4">
        <v>488441</v>
      </c>
      <c r="C32" s="4">
        <v>4514742</v>
      </c>
      <c r="D32" s="4">
        <v>222242</v>
      </c>
      <c r="E32" s="4">
        <v>5030927</v>
      </c>
      <c r="F32" s="4">
        <v>3735920</v>
      </c>
      <c r="G32" s="4">
        <v>1891754</v>
      </c>
      <c r="H32" s="5">
        <f>+SUM(B32:C32)</f>
        <v>5003183</v>
      </c>
      <c r="I32" s="4">
        <v>2516177</v>
      </c>
      <c r="J32" s="4">
        <v>2514750</v>
      </c>
      <c r="K32" s="5">
        <f t="shared" si="0"/>
        <v>5030927</v>
      </c>
    </row>
    <row r="33" spans="1:11">
      <c r="A33" s="7">
        <v>2021</v>
      </c>
      <c r="B33" s="4">
        <v>488927</v>
      </c>
      <c r="C33" s="4">
        <v>4525981</v>
      </c>
      <c r="D33" s="4">
        <v>278305</v>
      </c>
      <c r="E33" s="4">
        <v>5050416</v>
      </c>
      <c r="F33" s="4">
        <v>3866220</v>
      </c>
      <c r="G33" s="4">
        <v>1868056</v>
      </c>
      <c r="H33" s="5">
        <f>+SUM(B33:C33)</f>
        <v>5014908</v>
      </c>
      <c r="I33" s="4">
        <v>2569109</v>
      </c>
      <c r="J33" s="4">
        <v>2481307</v>
      </c>
      <c r="K33" s="5">
        <f t="shared" si="0"/>
        <v>5050416</v>
      </c>
    </row>
    <row r="34" spans="1:11">
      <c r="A34" s="7">
        <v>2022</v>
      </c>
      <c r="B34" s="4">
        <v>492880</v>
      </c>
      <c r="C34" s="4">
        <v>4541506</v>
      </c>
      <c r="D34" s="4">
        <v>339980</v>
      </c>
      <c r="E34" s="4">
        <v>5075068</v>
      </c>
      <c r="F34" s="4">
        <v>4006804</v>
      </c>
      <c r="G34" s="4">
        <v>1842501</v>
      </c>
      <c r="H34" s="5">
        <f>+SUM(B34:C34)</f>
        <v>5034386</v>
      </c>
      <c r="I34" s="4">
        <v>2617145</v>
      </c>
      <c r="J34" s="4">
        <v>2457923</v>
      </c>
      <c r="K34" s="5">
        <f t="shared" si="0"/>
        <v>5075068</v>
      </c>
    </row>
    <row r="35" spans="1:11">
      <c r="A35" s="7">
        <v>2023</v>
      </c>
      <c r="B35" s="4">
        <v>496380</v>
      </c>
      <c r="C35" s="4">
        <v>4603119</v>
      </c>
      <c r="D35" s="4">
        <v>439111</v>
      </c>
      <c r="E35" s="4">
        <v>5148231</v>
      </c>
      <c r="F35" s="4">
        <v>4162850</v>
      </c>
      <c r="G35" s="4">
        <v>1815623</v>
      </c>
      <c r="H35" s="5">
        <f>+SUM(B35:C35)</f>
        <v>5099499</v>
      </c>
      <c r="I35" s="4">
        <v>2681233</v>
      </c>
      <c r="J35" s="4">
        <v>2466998</v>
      </c>
      <c r="K35" s="5">
        <f t="shared" si="0"/>
        <v>5148231</v>
      </c>
    </row>
    <row r="36" spans="1:11">
      <c r="A36" s="7">
        <v>2024</v>
      </c>
      <c r="B36" s="4">
        <v>503952</v>
      </c>
      <c r="C36" s="4">
        <v>4643516</v>
      </c>
      <c r="D36" s="4">
        <v>553817</v>
      </c>
      <c r="E36" s="4">
        <v>5203435</v>
      </c>
      <c r="F36" s="4">
        <v>4338881</v>
      </c>
      <c r="G36" s="4">
        <v>1620708</v>
      </c>
      <c r="H36" s="5">
        <f>+SUM(B36:C36)</f>
        <v>5147468</v>
      </c>
      <c r="I36" s="4">
        <v>2741010</v>
      </c>
      <c r="J36" s="4">
        <v>2462425</v>
      </c>
      <c r="K36" s="5">
        <f t="shared" si="0"/>
        <v>5203435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DC7A-407D-4DF0-B03C-8A45F5BAB6C9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tecnica_todoas</vt:lpstr>
      <vt:lpstr>furgonetas y camiones</vt:lpstr>
      <vt:lpstr>etiqueta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Pérez</dc:creator>
  <cp:lastModifiedBy>Vanesa Pérez</cp:lastModifiedBy>
  <dcterms:created xsi:type="dcterms:W3CDTF">2026-01-27T13:35:43Z</dcterms:created>
  <dcterms:modified xsi:type="dcterms:W3CDTF">2026-01-27T18:36:52Z</dcterms:modified>
</cp:coreProperties>
</file>